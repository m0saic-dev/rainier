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Posts" sheetId="2" state="visible" r:id="rId2"/>
    <sheet name="Review" sheetId="3" state="visible" r:id="rId3"/>
    <sheet name="Calendar" sheetId="4" state="visible" r:id="rId4"/>
    <sheet name="Lists" sheetId="5" state="visible" r:id="rId5"/>
  </sheets>
  <definedNames>
    <definedName name="_xlnm._FilterDatabase" localSheetId="1" hidden="1">'Posts'!$A$1:$R$1000</definedName>
    <definedName name="_xlnm._FilterDatabase" localSheetId="3" hidden="1">'Calendar'!$A$1:$G$500</definedName>
  </definedNames>
  <calcPr calcId="124519" fullCalcOnLoad="1"/>
</workbook>
</file>

<file path=xl/styles.xml><?xml version="1.0" encoding="utf-8"?>
<styleSheet xmlns="http://schemas.openxmlformats.org/spreadsheetml/2006/main">
  <numFmts count="3">
    <numFmt numFmtId="164" formatCode="yyyy-mm-dd"/>
    <numFmt numFmtId="165" formatCode="d mmm yyyy"/>
    <numFmt numFmtId="166" formatCode="0.0%"/>
  </numFmts>
  <fonts count="12">
    <font>
      <name val="Calibri"/>
      <family val="2"/>
      <color theme="1"/>
      <sz val="11"/>
      <scheme val="minor"/>
    </font>
    <font>
      <name val="Arial"/>
      <b val="1"/>
      <color rgb="001F1F1D"/>
      <sz val="18"/>
    </font>
    <font>
      <name val="Arial"/>
      <color rgb="0052514E"/>
      <sz val="11"/>
    </font>
    <font>
      <name val="Arial"/>
      <b val="1"/>
      <color rgb="001F1F1D"/>
      <sz val="12"/>
    </font>
    <font>
      <name val="Arial"/>
      <color rgb="001F1F1D"/>
      <sz val="10"/>
    </font>
    <font>
      <name val="Arial"/>
      <color rgb="0052514E"/>
      <sz val="10"/>
    </font>
    <font>
      <name val="Arial"/>
      <b val="1"/>
      <color rgb="0052514E"/>
      <sz val="10"/>
    </font>
    <font>
      <name val="Arial"/>
      <b val="1"/>
      <color rgb="00FFFFFF"/>
      <sz val="10"/>
    </font>
    <font>
      <name val="Arial"/>
      <i val="1"/>
      <color rgb="0052514E"/>
      <sz val="10"/>
    </font>
    <font>
      <name val="Arial"/>
      <color rgb="002A78D6"/>
      <sz val="10"/>
      <u val="single"/>
    </font>
    <font>
      <name val="Arial"/>
      <b val="1"/>
      <color rgb="001F1F1D"/>
      <sz val="11"/>
    </font>
    <font>
      <name val="Arial"/>
      <b val="1"/>
      <color rgb="001F1F1D"/>
      <sz val="10"/>
    </font>
  </fonts>
  <fills count="5">
    <fill>
      <patternFill/>
    </fill>
    <fill>
      <patternFill patternType="gray125"/>
    </fill>
    <fill>
      <patternFill patternType="solid">
        <fgColor rgb="002F2F2C"/>
        <bgColor rgb="002F2F2C"/>
      </patternFill>
    </fill>
    <fill>
      <patternFill patternType="solid">
        <fgColor rgb="006B6A65"/>
        <bgColor rgb="006B6A65"/>
      </patternFill>
    </fill>
    <fill>
      <patternFill patternType="solid">
        <fgColor rgb="00F2F2EF"/>
        <bgColor rgb="00F2F2EF"/>
      </patternFill>
    </fill>
  </fills>
  <borders count="4">
    <border>
      <left/>
      <right/>
      <top/>
      <bottom/>
      <diagonal/>
    </border>
    <border>
      <bottom style="thin">
        <color rgb="00D9D8D4"/>
      </bottom>
    </border>
    <border>
      <bottom style="thin">
        <color rgb="0052514E"/>
      </bottom>
    </border>
    <border>
      <top style="thin">
        <color rgb="0052514E"/>
      </top>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horizontal="right" vertical="top"/>
    </xf>
    <xf numFmtId="0" fontId="6" fillId="0" borderId="0" applyAlignment="1" pivotButton="0" quotePrefix="0" xfId="0">
      <alignment horizontal="left" vertical="top"/>
    </xf>
    <xf numFmtId="0" fontId="7" fillId="2" borderId="0" applyAlignment="1" pivotButton="0" quotePrefix="0" xfId="0">
      <alignment vertical="center" wrapText="1"/>
    </xf>
    <xf numFmtId="0" fontId="7" fillId="3" borderId="0" applyAlignment="1" pivotButton="0" quotePrefix="0" xfId="0">
      <alignment vertical="center" wrapText="1"/>
    </xf>
    <xf numFmtId="165" fontId="4" fillId="0" borderId="0" pivotButton="0" quotePrefix="0" xfId="0"/>
    <xf numFmtId="0" fontId="4" fillId="0" borderId="0" pivotButton="0" quotePrefix="0" xfId="0"/>
    <xf numFmtId="0" fontId="9" fillId="0" borderId="0" pivotButton="0" quotePrefix="0" xfId="0"/>
    <xf numFmtId="1" fontId="4" fillId="0" borderId="0" pivotButton="0" quotePrefix="0" xfId="0"/>
    <xf numFmtId="3" fontId="4" fillId="0" borderId="0" pivotButton="0" quotePrefix="0" xfId="0"/>
    <xf numFmtId="1" fontId="5" fillId="4" borderId="0" pivotButton="0" quotePrefix="0" xfId="0"/>
    <xf numFmtId="0" fontId="5" fillId="4" borderId="0" pivotButton="0" quotePrefix="0" xfId="0"/>
    <xf numFmtId="3" fontId="5" fillId="4" borderId="0" pivotButton="0" quotePrefix="0" xfId="0"/>
    <xf numFmtId="166" fontId="5" fillId="4" borderId="0" pivotButton="0" quotePrefix="0" xfId="0"/>
    <xf numFmtId="0" fontId="5" fillId="0" borderId="0" pivotButton="0" quotePrefix="0" xfId="0"/>
    <xf numFmtId="0" fontId="5" fillId="0" borderId="1" pivotButton="0" quotePrefix="0" xfId="0"/>
    <xf numFmtId="3" fontId="10" fillId="0" borderId="1" applyAlignment="1" pivotButton="0" quotePrefix="0" xfId="0">
      <alignment horizontal="right"/>
    </xf>
    <xf numFmtId="166" fontId="10" fillId="0" borderId="1" applyAlignment="1" pivotButton="0" quotePrefix="0" xfId="0">
      <alignment horizontal="right"/>
    </xf>
    <xf numFmtId="0" fontId="10" fillId="0" borderId="1" applyAlignment="1" pivotButton="0" quotePrefix="0" xfId="0">
      <alignment horizontal="right"/>
    </xf>
    <xf numFmtId="0" fontId="6" fillId="0" borderId="2" applyAlignment="1" pivotButton="0" quotePrefix="0" xfId="0">
      <alignment horizontal="left" vertical="bottom" wrapText="1"/>
    </xf>
    <xf numFmtId="0" fontId="6" fillId="0" borderId="2" applyAlignment="1" pivotButton="0" quotePrefix="0" xfId="0">
      <alignment horizontal="right" vertical="bottom" wrapText="1"/>
    </xf>
    <xf numFmtId="166" fontId="4" fillId="0" borderId="0" pivotButton="0" quotePrefix="0" xfId="0"/>
    <xf numFmtId="3" fontId="5" fillId="0" borderId="0" pivotButton="0" quotePrefix="0" xfId="0"/>
    <xf numFmtId="166" fontId="5" fillId="0" borderId="0" pivotButton="0" quotePrefix="0" xfId="0"/>
    <xf numFmtId="0" fontId="11" fillId="0" borderId="3" pivotButton="0" quotePrefix="0" xfId="0"/>
    <xf numFmtId="3" fontId="11" fillId="0" borderId="3" pivotButton="0" quotePrefix="0" xfId="0"/>
    <xf numFmtId="166" fontId="11" fillId="0" borderId="3" pivotButton="0" quotePrefix="0" xfId="0"/>
    <xf numFmtId="0" fontId="8" fillId="0" borderId="0" pivotButton="0" quotePrefix="0" xfId="0"/>
    <xf numFmtId="0" fontId="6" fillId="0" borderId="2" applyAlignment="1" pivotButton="0" quotePrefix="0" xfId="0">
      <alignment horizontal="left" vertical="bottom"/>
    </xf>
    <xf numFmtId="0" fontId="4" fillId="0" borderId="1" pivotButton="0" quotePrefix="0" xfId="0"/>
    <xf numFmtId="0" fontId="4" fillId="0" borderId="1" applyAlignment="1" pivotButton="0" quotePrefix="0" xfId="0">
      <alignment horizontal="right"/>
    </xf>
    <xf numFmtId="1" fontId="4" fillId="0" borderId="1" pivotButton="0" quotePrefix="0" xfId="0"/>
    <xf numFmtId="3" fontId="4" fillId="0" borderId="1" pivotButton="0" quotePrefix="0" xfId="0"/>
    <xf numFmtId="0" fontId="9" fillId="0" borderId="1" pivotButton="0" quotePrefix="0" xfId="0"/>
    <xf numFmtId="165" fontId="4" fillId="0" borderId="0" applyAlignment="1" pivotButton="0" quotePrefix="0" xfId="0">
      <alignment horizontal="left"/>
    </xf>
    <xf numFmtId="166"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Views by platform</a:t>
            </a:r>
          </a:p>
        </rich>
      </tx>
    </title>
    <plotArea>
      <barChart>
        <barDir val="col"/>
        <grouping val="clustered"/>
        <ser>
          <idx val="0"/>
          <order val="0"/>
          <tx>
            <strRef>
              <f>'Review'!D14</f>
            </strRef>
          </tx>
          <spPr>
            <a:solidFill>
              <a:srgbClr val="2A78D6"/>
            </a:solidFill>
            <a:ln>
              <a:noFill/>
              <a:prstDash val="solid"/>
            </a:ln>
          </spPr>
          <cat>
            <strRef>
              <f>'Review'!$B$15:$B$17</f>
            </strRef>
          </cat>
          <val>
            <numRef>
              <f>'Review'!$D$15:$D$17</f>
            </numRef>
          </val>
        </ser>
        <gapWidth val="80"/>
        <axId val="10"/>
        <axId val="100"/>
      </barChart>
      <catAx>
        <axId val="10"/>
        <scaling>
          <orientation val="minMax"/>
        </scaling>
        <delete val="0"/>
        <axPos val="b"/>
        <majorTickMark val="none"/>
        <minorTickMark val="none"/>
        <spPr>
          <a:ln>
            <a:solidFill>
              <a:srgbClr val="D9D8D4"/>
            </a:solidFill>
            <a:prstDash val="solid"/>
          </a:ln>
        </spPr>
        <crossAx val="100"/>
        <lblOffset val="100"/>
      </catAx>
      <valAx>
        <axId val="100"/>
        <scaling>
          <orientation val="minMax"/>
        </scaling>
        <delete val="0"/>
        <axPos val="l"/>
        <majorGridlines>
          <spPr>
            <a:ln>
              <a:solidFill>
                <a:srgbClr val="D9D8D4"/>
              </a:solidFill>
              <a:prstDash val="solid"/>
            </a:ln>
          </spPr>
        </majorGridlines>
        <numFmt formatCode="#,##0" sourceLinked="0"/>
        <majorTickMark val="none"/>
        <minorTickMark val="none"/>
        <spPr>
          <a:ln>
            <a:noFill/>
            <a:prstDash val="solid"/>
          </a:ln>
        </spPr>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Average views by length</a:t>
            </a:r>
          </a:p>
        </rich>
      </tx>
    </title>
    <plotArea>
      <barChart>
        <barDir val="col"/>
        <grouping val="clustered"/>
        <ser>
          <idx val="0"/>
          <order val="0"/>
          <tx>
            <strRef>
              <f>'Review'!D30</f>
            </strRef>
          </tx>
          <spPr>
            <a:solidFill>
              <a:srgbClr val="2A78D6"/>
            </a:solidFill>
            <a:ln>
              <a:noFill/>
              <a:prstDash val="solid"/>
            </a:ln>
          </spPr>
          <cat>
            <strRef>
              <f>'Review'!$B$31:$B$34</f>
            </strRef>
          </cat>
          <val>
            <numRef>
              <f>'Review'!$D$31:$D$34</f>
            </numRef>
          </val>
        </ser>
        <gapWidth val="80"/>
        <axId val="10"/>
        <axId val="100"/>
      </barChart>
      <catAx>
        <axId val="10"/>
        <scaling>
          <orientation val="minMax"/>
        </scaling>
        <delete val="0"/>
        <axPos val="b"/>
        <majorTickMark val="none"/>
        <minorTickMark val="none"/>
        <spPr>
          <a:ln>
            <a:solidFill>
              <a:srgbClr val="D9D8D4"/>
            </a:solidFill>
            <a:prstDash val="solid"/>
          </a:ln>
        </spPr>
        <crossAx val="100"/>
        <lblOffset val="100"/>
      </catAx>
      <valAx>
        <axId val="100"/>
        <scaling>
          <orientation val="minMax"/>
        </scaling>
        <delete val="0"/>
        <axPos val="l"/>
        <majorGridlines>
          <spPr>
            <a:ln>
              <a:solidFill>
                <a:srgbClr val="D9D8D4"/>
              </a:solidFill>
              <a:prstDash val="solid"/>
            </a:ln>
          </spPr>
        </majorGridlines>
        <numFmt formatCode="#,##0" sourceLinked="0"/>
        <majorTickMark val="none"/>
        <minorTickMark val="none"/>
        <spPr>
          <a:ln>
            <a:noFill/>
            <a:prstDash val="solid"/>
          </a:ln>
        </spPr>
        <crossAx val="10"/>
      </valAx>
    </plotArea>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Views per week</a:t>
            </a:r>
          </a:p>
        </rich>
      </tx>
    </title>
    <plotArea>
      <lineChart>
        <grouping val="standard"/>
        <ser>
          <idx val="0"/>
          <order val="0"/>
          <tx>
            <strRef>
              <f>'Review'!D59</f>
            </strRef>
          </tx>
          <spPr>
            <a:ln w="19050">
              <a:solidFill>
                <a:srgbClr val="2A78D6"/>
              </a:solidFill>
              <a:prstDash val="solid"/>
            </a:ln>
          </spPr>
          <marker>
            <symbol val="circle"/>
            <size val="6"/>
            <spPr>
              <a:solidFill>
                <a:srgbClr val="2A78D6"/>
              </a:solidFill>
              <a:ln>
                <a:solidFill>
                  <a:srgbClr val="2A78D6"/>
                </a:solidFill>
                <a:prstDash val="solid"/>
              </a:ln>
            </spPr>
          </marker>
          <cat>
            <numRef>
              <f>'Review'!$B$60:$B$71</f>
            </numRef>
          </cat>
          <val>
            <numRef>
              <f>'Review'!$D$60:$D$71</f>
            </numRef>
          </val>
          <smooth val="0"/>
        </ser>
        <axId val="10"/>
        <axId val="100"/>
      </lineChart>
      <catAx>
        <axId val="10"/>
        <scaling>
          <orientation val="minMax"/>
        </scaling>
        <delete val="0"/>
        <axPos val="b"/>
        <numFmt formatCode="d mmm" sourceLinked="0"/>
        <majorTickMark val="none"/>
        <minorTickMark val="none"/>
        <spPr>
          <a:ln>
            <a:solidFill>
              <a:srgbClr val="D9D8D4"/>
            </a:solidFill>
            <a:prstDash val="solid"/>
          </a:ln>
        </spPr>
        <crossAx val="100"/>
        <lblOffset val="100"/>
      </catAx>
      <valAx>
        <axId val="100"/>
        <scaling>
          <orientation val="minMax"/>
        </scaling>
        <delete val="0"/>
        <axPos val="l"/>
        <majorGridlines>
          <spPr>
            <a:ln>
              <a:solidFill>
                <a:srgbClr val="D9D8D4"/>
              </a:solidFill>
              <a:prstDash val="solid"/>
            </a:ln>
          </spPr>
        </majorGridlines>
        <numFmt formatCode="#,##0" sourceLinked="0"/>
        <majorTickMark val="none"/>
        <minorTickMark val="none"/>
        <spPr>
          <a:ln>
            <a:noFill/>
            <a:prstDash val="solid"/>
          </a:ln>
        </spPr>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Average views by song section</a:t>
            </a:r>
          </a:p>
        </rich>
      </tx>
    </title>
    <plotArea>
      <barChart>
        <barDir val="bar"/>
        <grouping val="clustered"/>
        <ser>
          <idx val="0"/>
          <order val="0"/>
          <tx>
            <strRef>
              <f>'Review'!E82</f>
            </strRef>
          </tx>
          <spPr>
            <a:solidFill>
              <a:srgbClr val="2A78D6"/>
            </a:solidFill>
            <a:ln>
              <a:noFill/>
              <a:prstDash val="solid"/>
            </a:ln>
          </spPr>
          <cat>
            <strRef>
              <f>'Review'!$B$83:$B$89</f>
            </strRef>
          </cat>
          <val>
            <numRef>
              <f>'Review'!$E$83:$E$89</f>
            </numRef>
          </val>
        </ser>
        <gapWidth val="80"/>
        <axId val="10"/>
        <axId val="100"/>
      </barChart>
      <catAx>
        <axId val="10"/>
        <scaling>
          <orientation val="maxMin"/>
        </scaling>
        <delete val="0"/>
        <axPos val="l"/>
        <majorTickMark val="none"/>
        <minorTickMark val="none"/>
        <spPr>
          <a:ln>
            <a:solidFill>
              <a:srgbClr val="D9D8D4"/>
            </a:solidFill>
            <a:prstDash val="solid"/>
          </a:ln>
        </spPr>
        <crossAx val="100"/>
        <lblOffset val="100"/>
      </catAx>
      <valAx>
        <axId val="100"/>
        <scaling>
          <orientation val="minMax"/>
        </scaling>
        <delete val="0"/>
        <axPos val="b"/>
        <majorGridlines>
          <spPr>
            <a:ln>
              <a:solidFill>
                <a:srgbClr val="D9D8D4"/>
              </a:solidFill>
              <a:prstDash val="solid"/>
            </a:ln>
          </spPr>
        </majorGridlines>
        <numFmt formatCode="#,##0" sourceLinked="0"/>
        <majorTickMark val="none"/>
        <minorTickMark val="none"/>
        <spPr>
          <a:ln>
            <a:noFill/>
            <a:prstDash val="solid"/>
          </a:ln>
        </spPr>
        <crossAx val="10"/>
        <crosses val="max"/>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12</row>
      <rowOff>0</rowOff>
    </from>
    <ext cx="5580000" cy="2448000"/>
    <graphicFrame>
      <nvGraphicFramePr>
        <cNvPr id="1" name="Chart 1"/>
        <cNvGraphicFramePr/>
      </nvGraphicFramePr>
      <xfrm/>
      <a:graphic>
        <a:graphicData uri="http://schemas.openxmlformats.org/drawingml/2006/chart">
          <c:chart r:id="rId1"/>
        </a:graphicData>
      </a:graphic>
    </graphicFrame>
    <clientData/>
  </oneCellAnchor>
  <oneCellAnchor>
    <from>
      <col>8</col>
      <colOff>0</colOff>
      <row>27</row>
      <rowOff>0</rowOff>
    </from>
    <ext cx="5580000" cy="2448000"/>
    <graphicFrame>
      <nvGraphicFramePr>
        <cNvPr id="2" name="Chart 2"/>
        <cNvGraphicFramePr/>
      </nvGraphicFramePr>
      <xfrm/>
      <a:graphic>
        <a:graphicData uri="http://schemas.openxmlformats.org/drawingml/2006/chart">
          <c:chart r:id="rId2"/>
        </a:graphicData>
      </a:graphic>
    </graphicFrame>
    <clientData/>
  </oneCellAnchor>
  <oneCellAnchor>
    <from>
      <col>8</col>
      <colOff>0</colOff>
      <row>56</row>
      <rowOff>0</rowOff>
    </from>
    <ext cx="5580000" cy="2448000"/>
    <graphicFrame>
      <nvGraphicFramePr>
        <cNvPr id="3" name="Chart 3"/>
        <cNvGraphicFramePr/>
      </nvGraphicFramePr>
      <xfrm/>
      <a:graphic>
        <a:graphicData uri="http://schemas.openxmlformats.org/drawingml/2006/chart">
          <c:chart r:id="rId3"/>
        </a:graphicData>
      </a:graphic>
    </graphicFrame>
    <clientData/>
  </oneCellAnchor>
  <oneCellAnchor>
    <from>
      <col>8</col>
      <colOff>0</colOff>
      <row>79</row>
      <rowOff>0</rowOff>
    </from>
    <ext cx="5580000" cy="2448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tiktok.com/@yourhandle/video/0000000000000000001" TargetMode="External" Id="rId1" /><Relationship Type="http://schemas.openxmlformats.org/officeDocument/2006/relationships/hyperlink" Target="https://www.instagram.com/reel/placeholder02/" TargetMode="External" Id="rId2" /><Relationship Type="http://schemas.openxmlformats.org/officeDocument/2006/relationships/hyperlink" Target="https://www.youtube.com/shorts/placeholder03" TargetMode="External" Id="rId3" /><Relationship Type="http://schemas.openxmlformats.org/officeDocument/2006/relationships/hyperlink" Target="https://www.tiktok.com/@yourhandle/video/0000000000000000004" TargetMode="External" Id="rId4" /><Relationship Type="http://schemas.openxmlformats.org/officeDocument/2006/relationships/hyperlink" Target="https://www.instagram.com/reel/placeholder05/" TargetMode="External" Id="rId5" /><Relationship Type="http://schemas.openxmlformats.org/officeDocument/2006/relationships/hyperlink" Target="https://www.youtube.com/shorts/placeholder06" TargetMode="External" Id="rId6" /><Relationship Type="http://schemas.openxmlformats.org/officeDocument/2006/relationships/hyperlink" Target="https://www.tiktok.com/@yourhandle/video/0000000000000000007" TargetMode="External" Id="rId7" /><Relationship Type="http://schemas.openxmlformats.org/officeDocument/2006/relationships/hyperlink" Target="https://www.instagram.com/reel/placeholder08/" TargetMode="External" Id="rId8" /><Relationship Type="http://schemas.openxmlformats.org/officeDocument/2006/relationships/hyperlink" Target="https://www.youtube.com/shorts/placeholder09" TargetMode="External" Id="rId9" /><Relationship Type="http://schemas.openxmlformats.org/officeDocument/2006/relationships/hyperlink" Target="https://www.instagram.com/reel/placeholder10/" TargetMode="External" Id="rId10" /><Relationship Type="http://schemas.openxmlformats.org/officeDocument/2006/relationships/hyperlink" Target="https://www.instagram.com/reel/placeholder11/" TargetMode="External" Id="rId11" /><Relationship Type="http://schemas.openxmlformats.org/officeDocument/2006/relationships/hyperlink" Target="https://www.instagram.com/reel/placeholder12/" TargetMode="External" Id="rId12" /><Relationship Type="http://schemas.openxmlformats.org/officeDocument/2006/relationships/hyperlink" Target="https://www.tiktok.com/@yourhandle/video/0000000000000000013" TargetMode="External" Id="rId13" /><Relationship Type="http://schemas.openxmlformats.org/officeDocument/2006/relationships/hyperlink" Target="https://www.youtube.com/shorts/placeholder14" TargetMode="External" Id="rId14" /><Relationship Type="http://schemas.openxmlformats.org/officeDocument/2006/relationships/hyperlink" Target="https://www.tiktok.com/@yourhandle/video/0000000000000000015" TargetMode="External" Id="rId15" /><Relationship Type="http://schemas.openxmlformats.org/officeDocument/2006/relationships/hyperlink" Target="https://www.instagram.com/reel/placeholder16/" TargetMode="External" Id="rId16" /><Relationship Type="http://schemas.openxmlformats.org/officeDocument/2006/relationships/hyperlink" Target="https://www.tiktok.com/@yourhandle/video/0000000000000000017" TargetMode="External" Id="rId17" /><Relationship Type="http://schemas.openxmlformats.org/officeDocument/2006/relationships/hyperlink" Target="https://www.instagram.com/reel/placeholder18/" TargetMode="External" Id="rId18" /><Relationship Type="http://schemas.openxmlformats.org/officeDocument/2006/relationships/hyperlink" Target="https://www.youtube.com/shorts/placeholder19" TargetMode="External" Id="rId19" /><Relationship Type="http://schemas.openxmlformats.org/officeDocument/2006/relationships/hyperlink" Target="https://www.tiktok.com/@yourhandle/video/0000000000000000020" TargetMode="External" Id="rId20" /><Relationship Type="http://schemas.openxmlformats.org/officeDocument/2006/relationships/hyperlink" Target="https://www.instagram.com/reel/placeholder21/" TargetMode="External" Id="rId21" /><Relationship Type="http://schemas.openxmlformats.org/officeDocument/2006/relationships/hyperlink" Target="https://www.tiktok.com/@yourhandle/video/0000000000000000022" TargetMode="External" Id="rId22" /><Relationship Type="http://schemas.openxmlformats.org/officeDocument/2006/relationships/hyperlink" Target="https://www.instagram.com/reel/placeholder23/" TargetMode="External" Id="rId23" /><Relationship Type="http://schemas.openxmlformats.org/officeDocument/2006/relationships/hyperlink" Target="https://www.youtube.com/shorts/placeholder24" TargetMode="External" Id="rId24"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hyperlink" Target="https://www.tiktok.com/@yourhandle/video/0000000000000000022" TargetMode="External" Id="rId1" /></Relationships>
</file>

<file path=xl/worksheets/sheet1.xml><?xml version="1.0" encoding="utf-8"?>
<worksheet xmlns="http://schemas.openxmlformats.org/spreadsheetml/2006/main">
  <sheetPr>
    <outlinePr summaryBelow="1" summaryRight="1"/>
    <pageSetUpPr/>
  </sheetPr>
  <dimension ref="A1:B55"/>
  <sheetViews>
    <sheetView showGridLines="0" workbookViewId="0">
      <selection activeCell="A1" sqref="A1"/>
    </sheetView>
  </sheetViews>
  <sheetFormatPr baseColWidth="8" defaultRowHeight="15"/>
  <cols>
    <col width="24" customWidth="1" min="1" max="1"/>
    <col width="96" customWidth="1" min="2" max="2"/>
  </cols>
  <sheetData>
    <row r="1" ht="28" customHeight="1">
      <c r="A1" s="1" t="inlineStr">
        <is>
          <t>Marketing review</t>
        </is>
      </c>
    </row>
    <row r="2" ht="45" customHeight="1">
      <c r="A2" s="2" t="inlineStr">
        <is>
          <t>Your post log and review dashboard. Log each post on Posts; the Review sheet works everything out. Works in Excel (Mac or Windows), Apple Numbers and Google Sheets. A quick preview shows the gray columns, the Review sheet and its charts empty: open the file in the app (see Opening it, below).</t>
        </is>
      </c>
    </row>
    <row r="4">
      <c r="A4" s="3" t="inlineStr">
        <is>
          <t>Start here</t>
        </is>
      </c>
    </row>
    <row r="5" ht="28" customHeight="1">
      <c r="B5" s="4" t="inlineStr">
        <is>
          <t>The rows on Posts and Calendar are made-up examples, so you can see how it works. When you start your own log, select Posts A2:M25 and press Delete, then Calendar A2:G7. Leave the gray columns alone.</t>
        </is>
      </c>
    </row>
    <row r="7">
      <c r="A7" s="3" t="inlineStr">
        <is>
          <t>Log a post</t>
        </is>
      </c>
    </row>
    <row r="8" ht="14" customHeight="1">
      <c r="A8" s="5" t="inlineStr">
        <is>
          <t>1</t>
        </is>
      </c>
      <c r="B8" s="4" t="inlineStr">
        <is>
          <t>On Posts, go to the first empty row.</t>
        </is>
      </c>
    </row>
    <row r="9" ht="28" customHeight="1">
      <c r="A9" s="5" t="inlineStr">
        <is>
          <t>2</t>
        </is>
      </c>
      <c r="B9" s="4" t="inlineStr">
        <is>
          <t>Type the date it went live, pick the platform and the song section, and paste the clip name and the post's link.</t>
        </is>
      </c>
    </row>
    <row r="10" ht="14" customHeight="1">
      <c r="A10" s="5" t="inlineStr">
        <is>
          <t>3</t>
        </is>
      </c>
      <c r="B10" s="4" t="inlineStr">
        <is>
          <t>Length (s): how long the clip is, in seconds.</t>
        </is>
      </c>
    </row>
    <row r="11" ht="28" customHeight="1">
      <c r="A11" s="5" t="inlineStr">
        <is>
          <t>4</t>
        </is>
      </c>
      <c r="B11" s="4" t="inlineStr">
        <is>
          <t>About a week later, fill in Views, Likes, Comments, Shares and Saves from the app's insights. Leave a box empty when the app doesn't show that number (YouTube shows no saves).</t>
        </is>
      </c>
    </row>
    <row r="12" ht="14" customHeight="1">
      <c r="A12" s="5" t="inlineStr">
        <is>
          <t>5</t>
        </is>
      </c>
      <c r="B12" s="4" t="inlineStr">
        <is>
          <t>Trial reel: Yes for an Instagram trial reel, otherwise No.</t>
        </is>
      </c>
    </row>
    <row r="13" ht="14" customHeight="1">
      <c r="B13" s="4" t="inlineStr">
        <is>
          <t>A row counts as a post once it has a date: a row without one stays out of the Review sheet.</t>
        </is>
      </c>
    </row>
    <row r="15">
      <c r="A15" s="3" t="inlineStr">
        <is>
          <t>Clip names</t>
        </is>
      </c>
    </row>
    <row r="16" ht="28" customHeight="1">
      <c r="B16" s="4" t="inlineStr">
        <is>
          <t>Use the file name Take Cutter gave the clip, like chorus-2_01m22s-01m41s. The times say where the take sits in the long rehearsal recording, so you can always find it again.</t>
        </is>
      </c>
    </row>
    <row r="18">
      <c r="A18" s="3" t="inlineStr">
        <is>
          <t>Columns you type</t>
        </is>
      </c>
    </row>
    <row r="19" ht="14" customHeight="1">
      <c r="A19" s="6" t="inlineStr">
        <is>
          <t>A  Date</t>
        </is>
      </c>
      <c r="B19" s="4" t="inlineStr">
        <is>
          <t>The day the post went live.</t>
        </is>
      </c>
    </row>
    <row r="20" ht="14" customHeight="1">
      <c r="A20" s="6" t="inlineStr">
        <is>
          <t>B  Platform</t>
        </is>
      </c>
      <c r="B20" s="4" t="inlineStr">
        <is>
          <t>Instagram, TikTok or YouTube (pick from the list).</t>
        </is>
      </c>
    </row>
    <row r="21" ht="14" customHeight="1">
      <c r="A21" s="6" t="inlineStr">
        <is>
          <t>C  Clip</t>
        </is>
      </c>
      <c r="B21" s="4" t="inlineStr">
        <is>
          <t>The Take Cutter file name.</t>
        </is>
      </c>
    </row>
    <row r="22" ht="14" customHeight="1">
      <c r="A22" s="6" t="inlineStr">
        <is>
          <t>D  Section</t>
        </is>
      </c>
      <c r="B22" s="4" t="inlineStr">
        <is>
          <t>Which part of the song (pick from the list).</t>
        </is>
      </c>
    </row>
    <row r="23" ht="14" customHeight="1">
      <c r="A23" s="6" t="inlineStr">
        <is>
          <t>E  Link</t>
        </is>
      </c>
      <c r="B23" s="4" t="inlineStr">
        <is>
          <t>The post's web address.</t>
        </is>
      </c>
    </row>
    <row r="24" ht="14" customHeight="1">
      <c r="A24" s="6" t="inlineStr">
        <is>
          <t>F  Length (s)</t>
        </is>
      </c>
      <c r="B24" s="4" t="inlineStr">
        <is>
          <t>Clip length in seconds.</t>
        </is>
      </c>
    </row>
    <row r="25" ht="14" customHeight="1">
      <c r="A25" s="6" t="inlineStr">
        <is>
          <t>G-K  Views to Saves</t>
        </is>
      </c>
      <c r="B25" s="4" t="inlineStr">
        <is>
          <t>From the app's insights. Plain numbers: 1200, not 1.2k.</t>
        </is>
      </c>
    </row>
    <row r="26" ht="14" customHeight="1">
      <c r="A26" s="6" t="inlineStr">
        <is>
          <t>L  Trial reel</t>
        </is>
      </c>
      <c r="B26" s="4" t="inlineStr">
        <is>
          <t>Yes or No.</t>
        </is>
      </c>
    </row>
    <row r="27" ht="14" customHeight="1">
      <c r="A27" s="6" t="inlineStr">
        <is>
          <t>M  Notes</t>
        </is>
      </c>
      <c r="B27" s="4" t="inlineStr">
        <is>
          <t>Anything: the time you posted, the title, what you tried.</t>
        </is>
      </c>
    </row>
    <row r="29">
      <c r="A29" s="3" t="inlineStr">
        <is>
          <t>Formula columns (gray: don't type in them)</t>
        </is>
      </c>
    </row>
    <row r="30" ht="14" customHeight="1">
      <c r="A30" s="6" t="inlineStr">
        <is>
          <t>N  Week</t>
        </is>
      </c>
      <c r="B30" s="4" t="inlineStr">
        <is>
          <t>Week number of the year; weeks start on Monday, and week 1 holds 1 January.</t>
        </is>
      </c>
    </row>
    <row r="31" ht="14" customHeight="1">
      <c r="A31" s="6" t="inlineStr">
        <is>
          <t>O  Length bucket</t>
        </is>
      </c>
      <c r="B31" s="4" t="inlineStr">
        <is>
          <t>0–15 s, 15–25 s, 25–40 s or 40+ s.</t>
        </is>
      </c>
    </row>
    <row r="32" ht="14" customHeight="1">
      <c r="A32" s="6" t="inlineStr">
        <is>
          <t>P  Engagement</t>
        </is>
      </c>
      <c r="B32" s="4" t="inlineStr">
        <is>
          <t>Likes + comments + shares + saves.</t>
        </is>
      </c>
    </row>
    <row r="33" ht="14" customHeight="1">
      <c r="A33" s="6" t="inlineStr">
        <is>
          <t>Q  Engagement rate</t>
        </is>
      </c>
      <c r="B33" s="4" t="inlineStr">
        <is>
          <t>Engagement divided by views.</t>
        </is>
      </c>
    </row>
    <row r="34" ht="14" customHeight="1">
      <c r="A34" s="6" t="inlineStr">
        <is>
          <t>R  Rank</t>
        </is>
      </c>
      <c r="B34" s="4" t="inlineStr">
        <is>
          <t>1 = most views, among the rows with a date. A tie goes to the post logged first.</t>
        </is>
      </c>
    </row>
    <row r="35" ht="28" customHeight="1">
      <c r="B35" s="4" t="inlineStr">
        <is>
          <t>They are filled down to row 1000, so a new row just works. If you type over one by accident, copy the gray cell above it and paste it back.</t>
        </is>
      </c>
    </row>
    <row r="37">
      <c r="A37" s="3" t="inlineStr">
        <is>
          <t>Length buckets</t>
        </is>
      </c>
    </row>
    <row r="38" ht="14" customHeight="1">
      <c r="A38" s="6" t="inlineStr">
        <is>
          <t>0–15 s</t>
        </is>
      </c>
      <c r="B38" s="4" t="inlineStr">
        <is>
          <t>Under 15 seconds.</t>
        </is>
      </c>
    </row>
    <row r="39" ht="14" customHeight="1">
      <c r="A39" s="6" t="inlineStr">
        <is>
          <t>15–25 s</t>
        </is>
      </c>
      <c r="B39" s="4" t="inlineStr">
        <is>
          <t>15 up to 25 seconds. A clip of exactly 15 s lands here.</t>
        </is>
      </c>
    </row>
    <row r="40" ht="14" customHeight="1">
      <c r="A40" s="6" t="inlineStr">
        <is>
          <t>25–40 s</t>
        </is>
      </c>
      <c r="B40" s="4" t="inlineStr">
        <is>
          <t>25 up to 40 seconds.</t>
        </is>
      </c>
    </row>
    <row r="41" ht="14" customHeight="1">
      <c r="A41" s="6" t="inlineStr">
        <is>
          <t>40+ s</t>
        </is>
      </c>
      <c r="B41" s="4" t="inlineStr">
        <is>
          <t>40 seconds and longer.</t>
        </is>
      </c>
    </row>
    <row r="42" ht="14" customHeight="1">
      <c r="B42" s="4" t="inlineStr">
        <is>
          <t>Change the cut-offs on the Lists sheet.</t>
        </is>
      </c>
    </row>
    <row r="44">
      <c r="A44" s="3" t="inlineStr">
        <is>
          <t>Titles</t>
        </is>
      </c>
    </row>
    <row r="45" ht="14" customHeight="1">
      <c r="B45" s="4" t="inlineStr">
        <is>
          <t>Shorts titles stop at 100 characters.</t>
        </is>
      </c>
    </row>
    <row r="47">
      <c r="A47" s="3" t="inlineStr">
        <is>
          <t>The other sheets</t>
        </is>
      </c>
    </row>
    <row r="48" ht="28" customHeight="1">
      <c r="A48" s="6" t="inlineStr">
        <is>
          <t>Review</t>
        </is>
      </c>
      <c r="B48" s="4" t="inlineStr">
        <is>
          <t>Views by platform, average views by length, your top 10 clips with links, the last 12 weeks, trial reels against main posts, and your best song sections. Nothing to type; it updates as you log.</t>
        </is>
      </c>
    </row>
    <row r="49" ht="28" customHeight="1">
      <c r="A49" s="6" t="inlineStr">
        <is>
          <t>Calendar</t>
        </is>
      </c>
      <c r="B49" s="4" t="inlineStr">
        <is>
          <t>Plan posts before they go out: date, song, section, the Take Cutter file, where it goes, and a status (Idea, Cut, Edited, Scheduled, Posted). Once it is live, paste the link and log it on Posts.</t>
        </is>
      </c>
    </row>
    <row r="50" ht="14" customHeight="1">
      <c r="A50" s="6" t="inlineStr">
        <is>
          <t>Lists</t>
        </is>
      </c>
      <c r="B50" s="4" t="inlineStr">
        <is>
          <t>The dropdown choices and the length cut-offs. To change a choice, rename it there.</t>
        </is>
      </c>
    </row>
    <row r="52">
      <c r="A52" s="3" t="inlineStr">
        <is>
          <t>Opening it</t>
        </is>
      </c>
    </row>
    <row r="53" ht="28" customHeight="1">
      <c r="A53" s="6" t="inlineStr">
        <is>
          <t>Excel or Numbers</t>
        </is>
      </c>
      <c r="B53" s="4" t="inlineStr">
        <is>
          <t>Double-click the file. If Excel opens it in Protected View (a file from the internet), click Enable Editing.</t>
        </is>
      </c>
    </row>
    <row r="54" ht="14" customHeight="1">
      <c r="A54" s="6" t="inlineStr">
        <is>
          <t>Google Sheets</t>
        </is>
      </c>
      <c r="B54" s="4" t="inlineStr">
        <is>
          <t>Upload the file to Google Drive, then Open with &gt; Google Sheets.</t>
        </is>
      </c>
    </row>
    <row r="55" ht="28" customHeight="1">
      <c r="A55" s="6" t="inlineStr">
        <is>
          <t>Quick previews</t>
        </is>
      </c>
      <c r="B55" s="4" t="inlineStr">
        <is>
          <t>The space bar in Finder, a phone's Files app and Excel's Protected View don't calculate, so the gray columns, the Review sheet and its charts look empty there. Open the file in the app and they fill in.</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0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27" customWidth="1" min="3" max="3"/>
    <col width="11" customWidth="1" min="4" max="4"/>
    <col width="40" customWidth="1" min="5" max="5"/>
    <col width="9" customWidth="1" min="6" max="6"/>
    <col width="10" customWidth="1" min="7" max="7"/>
    <col width="9" customWidth="1" min="8" max="8"/>
    <col width="10" customWidth="1" min="9" max="9"/>
    <col width="9" customWidth="1" min="10" max="10"/>
    <col width="9" customWidth="1" min="11" max="11"/>
    <col width="8" customWidth="1" min="12" max="12"/>
    <col width="34" customWidth="1" min="13" max="13"/>
    <col width="7" customWidth="1" min="14" max="14"/>
    <col width="10" customWidth="1" min="15" max="15"/>
    <col width="11" customWidth="1" min="16" max="16"/>
    <col width="11" customWidth="1" min="17" max="17"/>
    <col width="7" customWidth="1" min="18" max="18"/>
  </cols>
  <sheetData>
    <row r="1" ht="30" customHeight="1">
      <c r="A1" s="7" t="inlineStr">
        <is>
          <t>Date</t>
        </is>
      </c>
      <c r="B1" s="7" t="inlineStr">
        <is>
          <t>Platform</t>
        </is>
      </c>
      <c r="C1" s="7" t="inlineStr">
        <is>
          <t>Clip</t>
        </is>
      </c>
      <c r="D1" s="7" t="inlineStr">
        <is>
          <t>Section</t>
        </is>
      </c>
      <c r="E1" s="7" t="inlineStr">
        <is>
          <t>Link</t>
        </is>
      </c>
      <c r="F1" s="7" t="inlineStr">
        <is>
          <t>Length (s)</t>
        </is>
      </c>
      <c r="G1" s="7" t="inlineStr">
        <is>
          <t>Views</t>
        </is>
      </c>
      <c r="H1" s="7" t="inlineStr">
        <is>
          <t>Likes</t>
        </is>
      </c>
      <c r="I1" s="7" t="inlineStr">
        <is>
          <t>Comments</t>
        </is>
      </c>
      <c r="J1" s="7" t="inlineStr">
        <is>
          <t>Shares</t>
        </is>
      </c>
      <c r="K1" s="7" t="inlineStr">
        <is>
          <t>Saves</t>
        </is>
      </c>
      <c r="L1" s="7" t="inlineStr">
        <is>
          <t>Trial reel</t>
        </is>
      </c>
      <c r="M1" s="7" t="inlineStr">
        <is>
          <t>Notes</t>
        </is>
      </c>
      <c r="N1" s="8" t="inlineStr">
        <is>
          <t>Week</t>
        </is>
      </c>
      <c r="O1" s="8" t="inlineStr">
        <is>
          <t>Length bucket</t>
        </is>
      </c>
      <c r="P1" s="8" t="inlineStr">
        <is>
          <t>Engagement</t>
        </is>
      </c>
      <c r="Q1" s="8" t="inlineStr">
        <is>
          <t>Engagement rate</t>
        </is>
      </c>
      <c r="R1" s="8" t="inlineStr">
        <is>
          <t>Rank</t>
        </is>
      </c>
    </row>
    <row r="2">
      <c r="A2" s="9" t="n">
        <v>46238</v>
      </c>
      <c r="B2" s="10" t="inlineStr">
        <is>
          <t>TikTok</t>
        </is>
      </c>
      <c r="C2" s="10" t="inlineStr">
        <is>
          <t>verse-1_03m10s-03m28s</t>
        </is>
      </c>
      <c r="D2" s="10" t="inlineStr">
        <is>
          <t>verse 1</t>
        </is>
      </c>
      <c r="E2" s="11" t="inlineStr">
        <is>
          <t>https://www.tiktok.com/@yourhandle/video/0000000000000000001</t>
        </is>
      </c>
      <c r="F2" s="12" t="n">
        <v>18</v>
      </c>
      <c r="G2" s="13" t="n">
        <v>2140</v>
      </c>
      <c r="H2" s="13" t="n">
        <v>161</v>
      </c>
      <c r="I2" s="13" t="n">
        <v>9</v>
      </c>
      <c r="J2" s="13" t="n">
        <v>12</v>
      </c>
      <c r="K2" s="13" t="n">
        <v>21</v>
      </c>
      <c r="L2" s="10" t="inlineStr">
        <is>
          <t>No</t>
        </is>
      </c>
      <c r="M2" s="10" t="inlineStr">
        <is>
          <t>First post of the song</t>
        </is>
      </c>
      <c r="N2" s="14">
        <f>IF(A2="","",WEEKNUM(A2,2))</f>
        <v/>
      </c>
      <c r="O2" s="15">
        <f>IF(OR(A2="",F2=""),"",LOOKUP(F2,Lists!$F$2:$F$5,Lists!$G$2:$G$5))</f>
        <v/>
      </c>
      <c r="P2" s="16">
        <f>IF(A2="","",SUM(H2:K2))</f>
        <v/>
      </c>
      <c r="Q2" s="17">
        <f>IF(A2="","",IFERROR(P2/G2,""))</f>
        <v/>
      </c>
      <c r="R2" s="14">
        <f>IF(OR(A2="",G2=""),"",COUNTIFS($N$2:$N$1000,"&gt;0",$G$2:$G$1000,"&gt;"&amp;G2)+COUNTIFS($N$2:N2,"&gt;0",$G$2:G2,G2))</f>
        <v/>
      </c>
    </row>
    <row r="3">
      <c r="A3" s="9" t="n">
        <v>46238</v>
      </c>
      <c r="B3" s="10" t="inlineStr">
        <is>
          <t>Instagram</t>
        </is>
      </c>
      <c r="C3" s="10" t="inlineStr">
        <is>
          <t>verse-1_03m10s-03m28s</t>
        </is>
      </c>
      <c r="D3" s="10" t="inlineStr">
        <is>
          <t>verse 1</t>
        </is>
      </c>
      <c r="E3" s="11" t="inlineStr">
        <is>
          <t>https://www.instagram.com/reel/placeholder02/</t>
        </is>
      </c>
      <c r="F3" s="12" t="n">
        <v>18</v>
      </c>
      <c r="G3" s="13" t="n">
        <v>1630</v>
      </c>
      <c r="H3" s="13" t="n">
        <v>118</v>
      </c>
      <c r="I3" s="13" t="n">
        <v>6</v>
      </c>
      <c r="J3" s="13" t="n">
        <v>9</v>
      </c>
      <c r="K3" s="13" t="n">
        <v>17</v>
      </c>
      <c r="L3" s="10" t="inlineStr">
        <is>
          <t>No</t>
        </is>
      </c>
      <c r="M3" s="10" t="n"/>
      <c r="N3" s="14">
        <f>IF(A3="","",WEEKNUM(A3,2))</f>
        <v/>
      </c>
      <c r="O3" s="15">
        <f>IF(OR(A3="",F3=""),"",LOOKUP(F3,Lists!$F$2:$F$5,Lists!$G$2:$G$5))</f>
        <v/>
      </c>
      <c r="P3" s="16">
        <f>IF(A3="","",SUM(H3:K3))</f>
        <v/>
      </c>
      <c r="Q3" s="17">
        <f>IF(A3="","",IFERROR(P3/G3,""))</f>
        <v/>
      </c>
      <c r="R3" s="14">
        <f>IF(OR(A3="",G3=""),"",COUNTIFS($N$2:$N$1000,"&gt;0",$G$2:$G$1000,"&gt;"&amp;G3)+COUNTIFS($N$2:N3,"&gt;0",$G$2:G3,G3))</f>
        <v/>
      </c>
    </row>
    <row r="4">
      <c r="A4" s="9" t="n">
        <v>46239</v>
      </c>
      <c r="B4" s="10" t="inlineStr">
        <is>
          <t>YouTube</t>
        </is>
      </c>
      <c r="C4" s="10" t="inlineStr">
        <is>
          <t>verse-1_03m10s-03m28s</t>
        </is>
      </c>
      <c r="D4" s="10" t="inlineStr">
        <is>
          <t>verse 1</t>
        </is>
      </c>
      <c r="E4" s="11" t="inlineStr">
        <is>
          <t>https://www.youtube.com/shorts/placeholder03</t>
        </is>
      </c>
      <c r="F4" s="12" t="n">
        <v>18</v>
      </c>
      <c r="G4" s="13" t="n">
        <v>880</v>
      </c>
      <c r="H4" s="13" t="n">
        <v>41</v>
      </c>
      <c r="I4" s="13" t="n">
        <v>2</v>
      </c>
      <c r="J4" s="13" t="n">
        <v>3</v>
      </c>
      <c r="K4" s="13" t="n"/>
      <c r="L4" s="10" t="inlineStr">
        <is>
          <t>No</t>
        </is>
      </c>
      <c r="M4" s="10" t="inlineStr">
        <is>
          <t>Title 64 characters</t>
        </is>
      </c>
      <c r="N4" s="14">
        <f>IF(A4="","",WEEKNUM(A4,2))</f>
        <v/>
      </c>
      <c r="O4" s="15">
        <f>IF(OR(A4="",F4=""),"",LOOKUP(F4,Lists!$F$2:$F$5,Lists!$G$2:$G$5))</f>
        <v/>
      </c>
      <c r="P4" s="16">
        <f>IF(A4="","",SUM(H4:K4))</f>
        <v/>
      </c>
      <c r="Q4" s="17">
        <f>IF(A4="","",IFERROR(P4/G4,""))</f>
        <v/>
      </c>
      <c r="R4" s="14">
        <f>IF(OR(A4="",G4=""),"",COUNTIFS($N$2:$N$1000,"&gt;0",$G$2:$G$1000,"&gt;"&amp;G4)+COUNTIFS($N$2:N4,"&gt;0",$G$2:G4,G4))</f>
        <v/>
      </c>
    </row>
    <row r="5">
      <c r="A5" s="9" t="n">
        <v>46245</v>
      </c>
      <c r="B5" s="10" t="inlineStr">
        <is>
          <t>TikTok</t>
        </is>
      </c>
      <c r="C5" s="10" t="inlineStr">
        <is>
          <t>chorus-2_01m22s-01m41s</t>
        </is>
      </c>
      <c r="D5" s="10" t="inlineStr">
        <is>
          <t>chorus</t>
        </is>
      </c>
      <c r="E5" s="11" t="inlineStr">
        <is>
          <t>https://www.tiktok.com/@yourhandle/video/0000000000000000004</t>
        </is>
      </c>
      <c r="F5" s="12" t="n">
        <v>19</v>
      </c>
      <c r="G5" s="13" t="n">
        <v>8420</v>
      </c>
      <c r="H5" s="13" t="n">
        <v>702</v>
      </c>
      <c r="I5" s="13" t="n">
        <v>38</v>
      </c>
      <c r="J5" s="13" t="n">
        <v>96</v>
      </c>
      <c r="K5" s="13" t="n">
        <v>131</v>
      </c>
      <c r="L5" s="10" t="inlineStr">
        <is>
          <t>No</t>
        </is>
      </c>
      <c r="M5" s="10" t="inlineStr">
        <is>
          <t>Posted at 7 pm</t>
        </is>
      </c>
      <c r="N5" s="14">
        <f>IF(A5="","",WEEKNUM(A5,2))</f>
        <v/>
      </c>
      <c r="O5" s="15">
        <f>IF(OR(A5="",F5=""),"",LOOKUP(F5,Lists!$F$2:$F$5,Lists!$G$2:$G$5))</f>
        <v/>
      </c>
      <c r="P5" s="16">
        <f>IF(A5="","",SUM(H5:K5))</f>
        <v/>
      </c>
      <c r="Q5" s="17">
        <f>IF(A5="","",IFERROR(P5/G5,""))</f>
        <v/>
      </c>
      <c r="R5" s="14">
        <f>IF(OR(A5="",G5=""),"",COUNTIFS($N$2:$N$1000,"&gt;0",$G$2:$G$1000,"&gt;"&amp;G5)+COUNTIFS($N$2:N5,"&gt;0",$G$2:G5,G5))</f>
        <v/>
      </c>
    </row>
    <row r="6">
      <c r="A6" s="9" t="n">
        <v>46245</v>
      </c>
      <c r="B6" s="10" t="inlineStr">
        <is>
          <t>Instagram</t>
        </is>
      </c>
      <c r="C6" s="10" t="inlineStr">
        <is>
          <t>chorus-2_01m22s-01m41s</t>
        </is>
      </c>
      <c r="D6" s="10" t="inlineStr">
        <is>
          <t>chorus</t>
        </is>
      </c>
      <c r="E6" s="11" t="inlineStr">
        <is>
          <t>https://www.instagram.com/reel/placeholder05/</t>
        </is>
      </c>
      <c r="F6" s="12" t="n">
        <v>19</v>
      </c>
      <c r="G6" s="13" t="n">
        <v>5210</v>
      </c>
      <c r="H6" s="13" t="n">
        <v>433</v>
      </c>
      <c r="I6" s="13" t="n">
        <v>21</v>
      </c>
      <c r="J6" s="13" t="n">
        <v>58</v>
      </c>
      <c r="K6" s="13" t="n">
        <v>88</v>
      </c>
      <c r="L6" s="10" t="inlineStr">
        <is>
          <t>No</t>
        </is>
      </c>
      <c r="M6" s="10" t="n"/>
      <c r="N6" s="14">
        <f>IF(A6="","",WEEKNUM(A6,2))</f>
        <v/>
      </c>
      <c r="O6" s="15">
        <f>IF(OR(A6="",F6=""),"",LOOKUP(F6,Lists!$F$2:$F$5,Lists!$G$2:$G$5))</f>
        <v/>
      </c>
      <c r="P6" s="16">
        <f>IF(A6="","",SUM(H6:K6))</f>
        <v/>
      </c>
      <c r="Q6" s="17">
        <f>IF(A6="","",IFERROR(P6/G6,""))</f>
        <v/>
      </c>
      <c r="R6" s="14">
        <f>IF(OR(A6="",G6=""),"",COUNTIFS($N$2:$N$1000,"&gt;0",$G$2:$G$1000,"&gt;"&amp;G6)+COUNTIFS($N$2:N6,"&gt;0",$G$2:G6,G6))</f>
        <v/>
      </c>
    </row>
    <row r="7">
      <c r="A7" s="9" t="n">
        <v>46246</v>
      </c>
      <c r="B7" s="10" t="inlineStr">
        <is>
          <t>YouTube</t>
        </is>
      </c>
      <c r="C7" s="10" t="inlineStr">
        <is>
          <t>chorus-2_01m22s-01m41s</t>
        </is>
      </c>
      <c r="D7" s="10" t="inlineStr">
        <is>
          <t>chorus</t>
        </is>
      </c>
      <c r="E7" s="11" t="inlineStr">
        <is>
          <t>https://www.youtube.com/shorts/placeholder06</t>
        </is>
      </c>
      <c r="F7" s="12" t="n">
        <v>19</v>
      </c>
      <c r="G7" s="13" t="n">
        <v>3960</v>
      </c>
      <c r="H7" s="13" t="n">
        <v>214</v>
      </c>
      <c r="I7" s="13" t="n">
        <v>11</v>
      </c>
      <c r="J7" s="13" t="n">
        <v>19</v>
      </c>
      <c r="K7" s="13" t="n"/>
      <c r="L7" s="10" t="inlineStr">
        <is>
          <t>No</t>
        </is>
      </c>
      <c r="M7" s="10" t="n"/>
      <c r="N7" s="14">
        <f>IF(A7="","",WEEKNUM(A7,2))</f>
        <v/>
      </c>
      <c r="O7" s="15">
        <f>IF(OR(A7="",F7=""),"",LOOKUP(F7,Lists!$F$2:$F$5,Lists!$G$2:$G$5))</f>
        <v/>
      </c>
      <c r="P7" s="16">
        <f>IF(A7="","",SUM(H7:K7))</f>
        <v/>
      </c>
      <c r="Q7" s="17">
        <f>IF(A7="","",IFERROR(P7/G7,""))</f>
        <v/>
      </c>
      <c r="R7" s="14">
        <f>IF(OR(A7="",G7=""),"",COUNTIFS($N$2:$N$1000,"&gt;0",$G$2:$G$1000,"&gt;"&amp;G7)+COUNTIFS($N$2:N7,"&gt;0",$G$2:G7,G7))</f>
        <v/>
      </c>
    </row>
    <row r="8">
      <c r="A8" s="9" t="n">
        <v>46252</v>
      </c>
      <c r="B8" s="10" t="inlineStr">
        <is>
          <t>TikTok</t>
        </is>
      </c>
      <c r="C8" s="10" t="inlineStr">
        <is>
          <t>intro_00m04s-00m17s</t>
        </is>
      </c>
      <c r="D8" s="10" t="inlineStr">
        <is>
          <t>intro</t>
        </is>
      </c>
      <c r="E8" s="11" t="inlineStr">
        <is>
          <t>https://www.tiktok.com/@yourhandle/video/0000000000000000007</t>
        </is>
      </c>
      <c r="F8" s="12" t="n">
        <v>13</v>
      </c>
      <c r="G8" s="13" t="n">
        <v>1210</v>
      </c>
      <c r="H8" s="13" t="n">
        <v>84</v>
      </c>
      <c r="I8" s="13" t="n">
        <v>3</v>
      </c>
      <c r="J8" s="13" t="n">
        <v>5</v>
      </c>
      <c r="K8" s="13" t="n">
        <v>9</v>
      </c>
      <c r="L8" s="10" t="inlineStr">
        <is>
          <t>No</t>
        </is>
      </c>
      <c r="M8" s="10" t="n"/>
      <c r="N8" s="14">
        <f>IF(A8="","",WEEKNUM(A8,2))</f>
        <v/>
      </c>
      <c r="O8" s="15">
        <f>IF(OR(A8="",F8=""),"",LOOKUP(F8,Lists!$F$2:$F$5,Lists!$G$2:$G$5))</f>
        <v/>
      </c>
      <c r="P8" s="16">
        <f>IF(A8="","",SUM(H8:K8))</f>
        <v/>
      </c>
      <c r="Q8" s="17">
        <f>IF(A8="","",IFERROR(P8/G8,""))</f>
        <v/>
      </c>
      <c r="R8" s="14">
        <f>IF(OR(A8="",G8=""),"",COUNTIFS($N$2:$N$1000,"&gt;0",$G$2:$G$1000,"&gt;"&amp;G8)+COUNTIFS($N$2:N8,"&gt;0",$G$2:G8,G8))</f>
        <v/>
      </c>
    </row>
    <row r="9">
      <c r="A9" s="9" t="n">
        <v>46252</v>
      </c>
      <c r="B9" s="10" t="inlineStr">
        <is>
          <t>Instagram</t>
        </is>
      </c>
      <c r="C9" s="10" t="inlineStr">
        <is>
          <t>intro_00m04s-00m17s</t>
        </is>
      </c>
      <c r="D9" s="10" t="inlineStr">
        <is>
          <t>intro</t>
        </is>
      </c>
      <c r="E9" s="11" t="inlineStr">
        <is>
          <t>https://www.instagram.com/reel/placeholder08/</t>
        </is>
      </c>
      <c r="F9" s="12" t="n">
        <v>13</v>
      </c>
      <c r="G9" s="13" t="n">
        <v>940</v>
      </c>
      <c r="H9" s="13" t="n">
        <v>61</v>
      </c>
      <c r="I9" s="13" t="n">
        <v>2</v>
      </c>
      <c r="J9" s="13" t="n">
        <v>4</v>
      </c>
      <c r="K9" s="13" t="n">
        <v>8</v>
      </c>
      <c r="L9" s="10" t="inlineStr">
        <is>
          <t>No</t>
        </is>
      </c>
      <c r="M9" s="10" t="n"/>
      <c r="N9" s="14">
        <f>IF(A9="","",WEEKNUM(A9,2))</f>
        <v/>
      </c>
      <c r="O9" s="15">
        <f>IF(OR(A9="",F9=""),"",LOOKUP(F9,Lists!$F$2:$F$5,Lists!$G$2:$G$5))</f>
        <v/>
      </c>
      <c r="P9" s="16">
        <f>IF(A9="","",SUM(H9:K9))</f>
        <v/>
      </c>
      <c r="Q9" s="17">
        <f>IF(A9="","",IFERROR(P9/G9,""))</f>
        <v/>
      </c>
      <c r="R9" s="14">
        <f>IF(OR(A9="",G9=""),"",COUNTIFS($N$2:$N$1000,"&gt;0",$G$2:$G$1000,"&gt;"&amp;G9)+COUNTIFS($N$2:N9,"&gt;0",$G$2:G9,G9))</f>
        <v/>
      </c>
    </row>
    <row r="10">
      <c r="A10" s="9" t="n">
        <v>46253</v>
      </c>
      <c r="B10" s="10" t="inlineStr">
        <is>
          <t>YouTube</t>
        </is>
      </c>
      <c r="C10" s="10" t="inlineStr">
        <is>
          <t>intro_00m04s-00m17s</t>
        </is>
      </c>
      <c r="D10" s="10" t="inlineStr">
        <is>
          <t>intro</t>
        </is>
      </c>
      <c r="E10" s="11" t="inlineStr">
        <is>
          <t>https://www.youtube.com/shorts/placeholder09</t>
        </is>
      </c>
      <c r="F10" s="12" t="n">
        <v>13</v>
      </c>
      <c r="G10" s="13" t="n">
        <v>610</v>
      </c>
      <c r="H10" s="13" t="n">
        <v>22</v>
      </c>
      <c r="I10" s="13" t="n">
        <v>1</v>
      </c>
      <c r="J10" s="13" t="n">
        <v>1</v>
      </c>
      <c r="K10" s="13" t="n"/>
      <c r="L10" s="10" t="inlineStr">
        <is>
          <t>No</t>
        </is>
      </c>
      <c r="M10" s="10" t="n"/>
      <c r="N10" s="14">
        <f>IF(A10="","",WEEKNUM(A10,2))</f>
        <v/>
      </c>
      <c r="O10" s="15">
        <f>IF(OR(A10="",F10=""),"",LOOKUP(F10,Lists!$F$2:$F$5,Lists!$G$2:$G$5))</f>
        <v/>
      </c>
      <c r="P10" s="16">
        <f>IF(A10="","",SUM(H10:K10))</f>
        <v/>
      </c>
      <c r="Q10" s="17">
        <f>IF(A10="","",IFERROR(P10/G10,""))</f>
        <v/>
      </c>
      <c r="R10" s="14">
        <f>IF(OR(A10="",G10=""),"",COUNTIFS($N$2:$N$1000,"&gt;0",$G$2:$G$1000,"&gt;"&amp;G10)+COUNTIFS($N$2:N10,"&gt;0",$G$2:G10,G10))</f>
        <v/>
      </c>
    </row>
    <row r="11">
      <c r="A11" s="9" t="n">
        <v>46259</v>
      </c>
      <c r="B11" s="10" t="inlineStr">
        <is>
          <t>Instagram</t>
        </is>
      </c>
      <c r="C11" s="10" t="inlineStr">
        <is>
          <t>bridge_27m40s-28m13s</t>
        </is>
      </c>
      <c r="D11" s="10" t="inlineStr">
        <is>
          <t>bridge</t>
        </is>
      </c>
      <c r="E11" s="11" t="inlineStr">
        <is>
          <t>https://www.instagram.com/reel/placeholder10/</t>
        </is>
      </c>
      <c r="F11" s="12" t="n">
        <v>33</v>
      </c>
      <c r="G11" s="13" t="n">
        <v>3870</v>
      </c>
      <c r="H11" s="13" t="n">
        <v>297</v>
      </c>
      <c r="I11" s="13" t="n">
        <v>17</v>
      </c>
      <c r="J11" s="13" t="n">
        <v>31</v>
      </c>
      <c r="K11" s="13" t="n">
        <v>52</v>
      </c>
      <c r="L11" s="10" t="inlineStr">
        <is>
          <t>No</t>
        </is>
      </c>
      <c r="M11" s="10" t="inlineStr">
        <is>
          <t>Main post, two trial reels the same day</t>
        </is>
      </c>
      <c r="N11" s="14">
        <f>IF(A11="","",WEEKNUM(A11,2))</f>
        <v/>
      </c>
      <c r="O11" s="15">
        <f>IF(OR(A11="",F11=""),"",LOOKUP(F11,Lists!$F$2:$F$5,Lists!$G$2:$G$5))</f>
        <v/>
      </c>
      <c r="P11" s="16">
        <f>IF(A11="","",SUM(H11:K11))</f>
        <v/>
      </c>
      <c r="Q11" s="17">
        <f>IF(A11="","",IFERROR(P11/G11,""))</f>
        <v/>
      </c>
      <c r="R11" s="14">
        <f>IF(OR(A11="",G11=""),"",COUNTIFS($N$2:$N$1000,"&gt;0",$G$2:$G$1000,"&gt;"&amp;G11)+COUNTIFS($N$2:N11,"&gt;0",$G$2:G11,G11))</f>
        <v/>
      </c>
    </row>
    <row r="12">
      <c r="A12" s="9" t="n">
        <v>46259</v>
      </c>
      <c r="B12" s="10" t="inlineStr">
        <is>
          <t>Instagram</t>
        </is>
      </c>
      <c r="C12" s="10" t="inlineStr">
        <is>
          <t>chorus-1_12m04s-12m16s</t>
        </is>
      </c>
      <c r="D12" s="10" t="inlineStr">
        <is>
          <t>chorus</t>
        </is>
      </c>
      <c r="E12" s="11" t="inlineStr">
        <is>
          <t>https://www.instagram.com/reel/placeholder11/</t>
        </is>
      </c>
      <c r="F12" s="12" t="n">
        <v>12</v>
      </c>
      <c r="G12" s="13" t="n">
        <v>2650</v>
      </c>
      <c r="H12" s="13" t="n">
        <v>171</v>
      </c>
      <c r="I12" s="13" t="n">
        <v>5</v>
      </c>
      <c r="J12" s="13" t="n">
        <v>22</v>
      </c>
      <c r="K12" s="13" t="n">
        <v>30</v>
      </c>
      <c r="L12" s="10" t="inlineStr">
        <is>
          <t>Yes</t>
        </is>
      </c>
      <c r="M12" s="10" t="inlineStr">
        <is>
          <t>Trial reel A</t>
        </is>
      </c>
      <c r="N12" s="14">
        <f>IF(A12="","",WEEKNUM(A12,2))</f>
        <v/>
      </c>
      <c r="O12" s="15">
        <f>IF(OR(A12="",F12=""),"",LOOKUP(F12,Lists!$F$2:$F$5,Lists!$G$2:$G$5))</f>
        <v/>
      </c>
      <c r="P12" s="16">
        <f>IF(A12="","",SUM(H12:K12))</f>
        <v/>
      </c>
      <c r="Q12" s="17">
        <f>IF(A12="","",IFERROR(P12/G12,""))</f>
        <v/>
      </c>
      <c r="R12" s="14">
        <f>IF(OR(A12="",G12=""),"",COUNTIFS($N$2:$N$1000,"&gt;0",$G$2:$G$1000,"&gt;"&amp;G12)+COUNTIFS($N$2:N12,"&gt;0",$G$2:G12,G12))</f>
        <v/>
      </c>
    </row>
    <row r="13">
      <c r="A13" s="9" t="n">
        <v>46259</v>
      </c>
      <c r="B13" s="10" t="inlineStr">
        <is>
          <t>Instagram</t>
        </is>
      </c>
      <c r="C13" s="10" t="inlineStr">
        <is>
          <t>pre-chorus_08m51s-09m13s</t>
        </is>
      </c>
      <c r="D13" s="10" t="inlineStr">
        <is>
          <t>pre-chorus</t>
        </is>
      </c>
      <c r="E13" s="11" t="inlineStr">
        <is>
          <t>https://www.instagram.com/reel/placeholder12/</t>
        </is>
      </c>
      <c r="F13" s="12" t="n">
        <v>22</v>
      </c>
      <c r="G13" s="13" t="n">
        <v>4480</v>
      </c>
      <c r="H13" s="13" t="n">
        <v>356</v>
      </c>
      <c r="I13" s="13" t="n">
        <v>14</v>
      </c>
      <c r="J13" s="13" t="n">
        <v>47</v>
      </c>
      <c r="K13" s="13" t="n">
        <v>61</v>
      </c>
      <c r="L13" s="10" t="inlineStr">
        <is>
          <t>Yes</t>
        </is>
      </c>
      <c r="M13" s="10" t="inlineStr">
        <is>
          <t>Trial reel B</t>
        </is>
      </c>
      <c r="N13" s="14">
        <f>IF(A13="","",WEEKNUM(A13,2))</f>
        <v/>
      </c>
      <c r="O13" s="15">
        <f>IF(OR(A13="",F13=""),"",LOOKUP(F13,Lists!$F$2:$F$5,Lists!$G$2:$G$5))</f>
        <v/>
      </c>
      <c r="P13" s="16">
        <f>IF(A13="","",SUM(H13:K13))</f>
        <v/>
      </c>
      <c r="Q13" s="17">
        <f>IF(A13="","",IFERROR(P13/G13,""))</f>
        <v/>
      </c>
      <c r="R13" s="14">
        <f>IF(OR(A13="",G13=""),"",COUNTIFS($N$2:$N$1000,"&gt;0",$G$2:$G$1000,"&gt;"&amp;G13)+COUNTIFS($N$2:N13,"&gt;0",$G$2:G13,G13))</f>
        <v/>
      </c>
    </row>
    <row r="14">
      <c r="A14" s="9" t="n">
        <v>46259</v>
      </c>
      <c r="B14" s="10" t="inlineStr">
        <is>
          <t>TikTok</t>
        </is>
      </c>
      <c r="C14" s="10" t="inlineStr">
        <is>
          <t>bridge_27m40s-28m13s</t>
        </is>
      </c>
      <c r="D14" s="10" t="inlineStr">
        <is>
          <t>bridge</t>
        </is>
      </c>
      <c r="E14" s="11" t="inlineStr">
        <is>
          <t>https://www.tiktok.com/@yourhandle/video/0000000000000000013</t>
        </is>
      </c>
      <c r="F14" s="12" t="n">
        <v>33</v>
      </c>
      <c r="G14" s="13" t="n">
        <v>5930</v>
      </c>
      <c r="H14" s="13" t="n">
        <v>468</v>
      </c>
      <c r="I14" s="13" t="n">
        <v>26</v>
      </c>
      <c r="J14" s="13" t="n">
        <v>55</v>
      </c>
      <c r="K14" s="13" t="n">
        <v>83</v>
      </c>
      <c r="L14" s="10" t="inlineStr">
        <is>
          <t>No</t>
        </is>
      </c>
      <c r="M14" s="10" t="n"/>
      <c r="N14" s="14">
        <f>IF(A14="","",WEEKNUM(A14,2))</f>
        <v/>
      </c>
      <c r="O14" s="15">
        <f>IF(OR(A14="",F14=""),"",LOOKUP(F14,Lists!$F$2:$F$5,Lists!$G$2:$G$5))</f>
        <v/>
      </c>
      <c r="P14" s="16">
        <f>IF(A14="","",SUM(H14:K14))</f>
        <v/>
      </c>
      <c r="Q14" s="17">
        <f>IF(A14="","",IFERROR(P14/G14,""))</f>
        <v/>
      </c>
      <c r="R14" s="14">
        <f>IF(OR(A14="",G14=""),"",COUNTIFS($N$2:$N$1000,"&gt;0",$G$2:$G$1000,"&gt;"&amp;G14)+COUNTIFS($N$2:N14,"&gt;0",$G$2:G14,G14))</f>
        <v/>
      </c>
    </row>
    <row r="15">
      <c r="A15" s="9" t="n">
        <v>46260</v>
      </c>
      <c r="B15" s="10" t="inlineStr">
        <is>
          <t>YouTube</t>
        </is>
      </c>
      <c r="C15" s="10" t="inlineStr">
        <is>
          <t>bridge_27m40s-28m13s</t>
        </is>
      </c>
      <c r="D15" s="10" t="inlineStr">
        <is>
          <t>bridge</t>
        </is>
      </c>
      <c r="E15" s="11" t="inlineStr">
        <is>
          <t>https://www.youtube.com/shorts/placeholder14</t>
        </is>
      </c>
      <c r="F15" s="12" t="n">
        <v>33</v>
      </c>
      <c r="G15" s="13" t="n">
        <v>9870</v>
      </c>
      <c r="H15" s="13" t="n">
        <v>512</v>
      </c>
      <c r="I15" s="13" t="n">
        <v>29</v>
      </c>
      <c r="J15" s="13" t="n">
        <v>41</v>
      </c>
      <c r="K15" s="13" t="n"/>
      <c r="L15" s="10" t="inlineStr">
        <is>
          <t>No</t>
        </is>
      </c>
      <c r="M15" s="10" t="inlineStr">
        <is>
          <t>Picked up by the Shorts feed</t>
        </is>
      </c>
      <c r="N15" s="14">
        <f>IF(A15="","",WEEKNUM(A15,2))</f>
        <v/>
      </c>
      <c r="O15" s="15">
        <f>IF(OR(A15="",F15=""),"",LOOKUP(F15,Lists!$F$2:$F$5,Lists!$G$2:$G$5))</f>
        <v/>
      </c>
      <c r="P15" s="16">
        <f>IF(A15="","",SUM(H15:K15))</f>
        <v/>
      </c>
      <c r="Q15" s="17">
        <f>IF(A15="","",IFERROR(P15/G15,""))</f>
        <v/>
      </c>
      <c r="R15" s="14">
        <f>IF(OR(A15="",G15=""),"",COUNTIFS($N$2:$N$1000,"&gt;0",$G$2:$G$1000,"&gt;"&amp;G15)+COUNTIFS($N$2:N15,"&gt;0",$G$2:G15,G15))</f>
        <v/>
      </c>
    </row>
    <row r="16">
      <c r="A16" s="9" t="n">
        <v>46266</v>
      </c>
      <c r="B16" s="10" t="inlineStr">
        <is>
          <t>TikTok</t>
        </is>
      </c>
      <c r="C16" s="10" t="inlineStr">
        <is>
          <t>verse-2_19m30s-19m52s</t>
        </is>
      </c>
      <c r="D16" s="10" t="inlineStr">
        <is>
          <t>verse 2</t>
        </is>
      </c>
      <c r="E16" s="11" t="inlineStr">
        <is>
          <t>https://www.tiktok.com/@yourhandle/video/0000000000000000015</t>
        </is>
      </c>
      <c r="F16" s="12" t="n">
        <v>22</v>
      </c>
      <c r="G16" s="13" t="n">
        <v>3350</v>
      </c>
      <c r="H16" s="13" t="n">
        <v>247</v>
      </c>
      <c r="I16" s="13" t="n">
        <v>12</v>
      </c>
      <c r="J16" s="13" t="n">
        <v>20</v>
      </c>
      <c r="K16" s="13" t="n">
        <v>34</v>
      </c>
      <c r="L16" s="10" t="inlineStr">
        <is>
          <t>No</t>
        </is>
      </c>
      <c r="M16" s="10" t="n"/>
      <c r="N16" s="14">
        <f>IF(A16="","",WEEKNUM(A16,2))</f>
        <v/>
      </c>
      <c r="O16" s="15">
        <f>IF(OR(A16="",F16=""),"",LOOKUP(F16,Lists!$F$2:$F$5,Lists!$G$2:$G$5))</f>
        <v/>
      </c>
      <c r="P16" s="16">
        <f>IF(A16="","",SUM(H16:K16))</f>
        <v/>
      </c>
      <c r="Q16" s="17">
        <f>IF(A16="","",IFERROR(P16/G16,""))</f>
        <v/>
      </c>
      <c r="R16" s="14">
        <f>IF(OR(A16="",G16=""),"",COUNTIFS($N$2:$N$1000,"&gt;0",$G$2:$G$1000,"&gt;"&amp;G16)+COUNTIFS($N$2:N16,"&gt;0",$G$2:G16,G16))</f>
        <v/>
      </c>
    </row>
    <row r="17">
      <c r="A17" s="9" t="n">
        <v>46266</v>
      </c>
      <c r="B17" s="10" t="inlineStr">
        <is>
          <t>Instagram</t>
        </is>
      </c>
      <c r="C17" s="10" t="inlineStr">
        <is>
          <t>verse-2_19m30s-19m52s</t>
        </is>
      </c>
      <c r="D17" s="10" t="inlineStr">
        <is>
          <t>verse 2</t>
        </is>
      </c>
      <c r="E17" s="11" t="inlineStr">
        <is>
          <t>https://www.instagram.com/reel/placeholder16/</t>
        </is>
      </c>
      <c r="F17" s="12" t="n">
        <v>22</v>
      </c>
      <c r="G17" s="13" t="n">
        <v>2080</v>
      </c>
      <c r="H17" s="13" t="n">
        <v>149</v>
      </c>
      <c r="I17" s="13" t="n">
        <v>7</v>
      </c>
      <c r="J17" s="13" t="n">
        <v>13</v>
      </c>
      <c r="K17" s="13" t="n">
        <v>22</v>
      </c>
      <c r="L17" s="10" t="inlineStr">
        <is>
          <t>No</t>
        </is>
      </c>
      <c r="M17" s="10" t="n"/>
      <c r="N17" s="14">
        <f>IF(A17="","",WEEKNUM(A17,2))</f>
        <v/>
      </c>
      <c r="O17" s="15">
        <f>IF(OR(A17="",F17=""),"",LOOKUP(F17,Lists!$F$2:$F$5,Lists!$G$2:$G$5))</f>
        <v/>
      </c>
      <c r="P17" s="16">
        <f>IF(A17="","",SUM(H17:K17))</f>
        <v/>
      </c>
      <c r="Q17" s="17">
        <f>IF(A17="","",IFERROR(P17/G17,""))</f>
        <v/>
      </c>
      <c r="R17" s="14">
        <f>IF(OR(A17="",G17=""),"",COUNTIFS($N$2:$N$1000,"&gt;0",$G$2:$G$1000,"&gt;"&amp;G17)+COUNTIFS($N$2:N17,"&gt;0",$G$2:G17,G17))</f>
        <v/>
      </c>
    </row>
    <row r="18">
      <c r="A18" s="9" t="n">
        <v>46273</v>
      </c>
      <c r="B18" s="10" t="inlineStr">
        <is>
          <t>TikTok</t>
        </is>
      </c>
      <c r="C18" s="10" t="inlineStr">
        <is>
          <t>outro_41m02s-41m49s</t>
        </is>
      </c>
      <c r="D18" s="10" t="inlineStr">
        <is>
          <t>outro</t>
        </is>
      </c>
      <c r="E18" s="11" t="inlineStr">
        <is>
          <t>https://www.tiktok.com/@yourhandle/video/0000000000000000017</t>
        </is>
      </c>
      <c r="F18" s="12" t="n">
        <v>47</v>
      </c>
      <c r="G18" s="13" t="n">
        <v>1480</v>
      </c>
      <c r="H18" s="13" t="n">
        <v>92</v>
      </c>
      <c r="I18" s="13" t="n">
        <v>4</v>
      </c>
      <c r="J18" s="13" t="n">
        <v>6</v>
      </c>
      <c r="K18" s="13" t="n">
        <v>11</v>
      </c>
      <c r="L18" s="10" t="inlineStr">
        <is>
          <t>No</t>
        </is>
      </c>
      <c r="M18" s="10" t="n"/>
      <c r="N18" s="14">
        <f>IF(A18="","",WEEKNUM(A18,2))</f>
        <v/>
      </c>
      <c r="O18" s="15">
        <f>IF(OR(A18="",F18=""),"",LOOKUP(F18,Lists!$F$2:$F$5,Lists!$G$2:$G$5))</f>
        <v/>
      </c>
      <c r="P18" s="16">
        <f>IF(A18="","",SUM(H18:K18))</f>
        <v/>
      </c>
      <c r="Q18" s="17">
        <f>IF(A18="","",IFERROR(P18/G18,""))</f>
        <v/>
      </c>
      <c r="R18" s="14">
        <f>IF(OR(A18="",G18=""),"",COUNTIFS($N$2:$N$1000,"&gt;0",$G$2:$G$1000,"&gt;"&amp;G18)+COUNTIFS($N$2:N18,"&gt;0",$G$2:G18,G18))</f>
        <v/>
      </c>
    </row>
    <row r="19">
      <c r="A19" s="9" t="n">
        <v>46273</v>
      </c>
      <c r="B19" s="10" t="inlineStr">
        <is>
          <t>Instagram</t>
        </is>
      </c>
      <c r="C19" s="10" t="inlineStr">
        <is>
          <t>outro_41m02s-41m49s</t>
        </is>
      </c>
      <c r="D19" s="10" t="inlineStr">
        <is>
          <t>outro</t>
        </is>
      </c>
      <c r="E19" s="11" t="inlineStr">
        <is>
          <t>https://www.instagram.com/reel/placeholder18/</t>
        </is>
      </c>
      <c r="F19" s="12" t="n">
        <v>47</v>
      </c>
      <c r="G19" s="13" t="n">
        <v>1210</v>
      </c>
      <c r="H19" s="13" t="n">
        <v>70</v>
      </c>
      <c r="I19" s="13" t="n">
        <v>3</v>
      </c>
      <c r="J19" s="13" t="n">
        <v>5</v>
      </c>
      <c r="K19" s="13" t="n">
        <v>9</v>
      </c>
      <c r="L19" s="10" t="inlineStr">
        <is>
          <t>No</t>
        </is>
      </c>
      <c r="M19" s="10" t="inlineStr">
        <is>
          <t>Same views as the intro TikTok</t>
        </is>
      </c>
      <c r="N19" s="14">
        <f>IF(A19="","",WEEKNUM(A19,2))</f>
        <v/>
      </c>
      <c r="O19" s="15">
        <f>IF(OR(A19="",F19=""),"",LOOKUP(F19,Lists!$F$2:$F$5,Lists!$G$2:$G$5))</f>
        <v/>
      </c>
      <c r="P19" s="16">
        <f>IF(A19="","",SUM(H19:K19))</f>
        <v/>
      </c>
      <c r="Q19" s="17">
        <f>IF(A19="","",IFERROR(P19/G19,""))</f>
        <v/>
      </c>
      <c r="R19" s="14">
        <f>IF(OR(A19="",G19=""),"",COUNTIFS($N$2:$N$1000,"&gt;0",$G$2:$G$1000,"&gt;"&amp;G19)+COUNTIFS($N$2:N19,"&gt;0",$G$2:G19,G19))</f>
        <v/>
      </c>
    </row>
    <row r="20">
      <c r="A20" s="9" t="n">
        <v>46274</v>
      </c>
      <c r="B20" s="10" t="inlineStr">
        <is>
          <t>YouTube</t>
        </is>
      </c>
      <c r="C20" s="10" t="inlineStr">
        <is>
          <t>outro_41m02s-41m49s</t>
        </is>
      </c>
      <c r="D20" s="10" t="inlineStr">
        <is>
          <t>outro</t>
        </is>
      </c>
      <c r="E20" s="11" t="inlineStr">
        <is>
          <t>https://www.youtube.com/shorts/placeholder19</t>
        </is>
      </c>
      <c r="F20" s="12" t="n">
        <v>47</v>
      </c>
      <c r="G20" s="13" t="n">
        <v>690</v>
      </c>
      <c r="H20" s="13" t="n">
        <v>28</v>
      </c>
      <c r="I20" s="13" t="n">
        <v>1</v>
      </c>
      <c r="J20" s="13" t="n">
        <v>2</v>
      </c>
      <c r="K20" s="13" t="n"/>
      <c r="L20" s="10" t="inlineStr">
        <is>
          <t>No</t>
        </is>
      </c>
      <c r="M20" s="10" t="n"/>
      <c r="N20" s="14">
        <f>IF(A20="","",WEEKNUM(A20,2))</f>
        <v/>
      </c>
      <c r="O20" s="15">
        <f>IF(OR(A20="",F20=""),"",LOOKUP(F20,Lists!$F$2:$F$5,Lists!$G$2:$G$5))</f>
        <v/>
      </c>
      <c r="P20" s="16">
        <f>IF(A20="","",SUM(H20:K20))</f>
        <v/>
      </c>
      <c r="Q20" s="17">
        <f>IF(A20="","",IFERROR(P20/G20,""))</f>
        <v/>
      </c>
      <c r="R20" s="14">
        <f>IF(OR(A20="",G20=""),"",COUNTIFS($N$2:$N$1000,"&gt;0",$G$2:$G$1000,"&gt;"&amp;G20)+COUNTIFS($N$2:N20,"&gt;0",$G$2:G20,G20))</f>
        <v/>
      </c>
    </row>
    <row r="21">
      <c r="A21" s="9" t="n">
        <v>46280</v>
      </c>
      <c r="B21" s="10" t="inlineStr">
        <is>
          <t>TikTok</t>
        </is>
      </c>
      <c r="C21" s="10" t="inlineStr">
        <is>
          <t>chorus-3_33m15s-33m39s</t>
        </is>
      </c>
      <c r="D21" s="10" t="inlineStr">
        <is>
          <t>chorus</t>
        </is>
      </c>
      <c r="E21" s="11" t="inlineStr">
        <is>
          <t>https://www.tiktok.com/@yourhandle/video/0000000000000000020</t>
        </is>
      </c>
      <c r="F21" s="12" t="n">
        <v>24</v>
      </c>
      <c r="G21" s="13" t="n">
        <v>12650</v>
      </c>
      <c r="H21" s="13" t="n">
        <v>1104</v>
      </c>
      <c r="I21" s="13" t="n">
        <v>57</v>
      </c>
      <c r="J21" s="13" t="n">
        <v>163</v>
      </c>
      <c r="K21" s="13" t="n">
        <v>214</v>
      </c>
      <c r="L21" s="10" t="inlineStr">
        <is>
          <t>No</t>
        </is>
      </c>
      <c r="M21" s="10" t="inlineStr">
        <is>
          <t>Best hook so far</t>
        </is>
      </c>
      <c r="N21" s="14">
        <f>IF(A21="","",WEEKNUM(A21,2))</f>
        <v/>
      </c>
      <c r="O21" s="15">
        <f>IF(OR(A21="",F21=""),"",LOOKUP(F21,Lists!$F$2:$F$5,Lists!$G$2:$G$5))</f>
        <v/>
      </c>
      <c r="P21" s="16">
        <f>IF(A21="","",SUM(H21:K21))</f>
        <v/>
      </c>
      <c r="Q21" s="17">
        <f>IF(A21="","",IFERROR(P21/G21,""))</f>
        <v/>
      </c>
      <c r="R21" s="14">
        <f>IF(OR(A21="",G21=""),"",COUNTIFS($N$2:$N$1000,"&gt;0",$G$2:$G$1000,"&gt;"&amp;G21)+COUNTIFS($N$2:N21,"&gt;0",$G$2:G21,G21))</f>
        <v/>
      </c>
    </row>
    <row r="22">
      <c r="A22" s="9" t="n">
        <v>46280</v>
      </c>
      <c r="B22" s="10" t="inlineStr">
        <is>
          <t>Instagram</t>
        </is>
      </c>
      <c r="C22" s="10" t="inlineStr">
        <is>
          <t>chorus-3_33m15s-33m39s</t>
        </is>
      </c>
      <c r="D22" s="10" t="inlineStr">
        <is>
          <t>chorus</t>
        </is>
      </c>
      <c r="E22" s="11" t="inlineStr">
        <is>
          <t>https://www.instagram.com/reel/placeholder21/</t>
        </is>
      </c>
      <c r="F22" s="12" t="n">
        <v>24</v>
      </c>
      <c r="G22" s="13" t="n">
        <v>7340</v>
      </c>
      <c r="H22" s="13" t="n">
        <v>618</v>
      </c>
      <c r="I22" s="13" t="n">
        <v>31</v>
      </c>
      <c r="J22" s="13" t="n">
        <v>84</v>
      </c>
      <c r="K22" s="13" t="n">
        <v>117</v>
      </c>
      <c r="L22" s="10" t="inlineStr">
        <is>
          <t>No</t>
        </is>
      </c>
      <c r="M22" s="10" t="n"/>
      <c r="N22" s="14">
        <f>IF(A22="","",WEEKNUM(A22,2))</f>
        <v/>
      </c>
      <c r="O22" s="15">
        <f>IF(OR(A22="",F22=""),"",LOOKUP(F22,Lists!$F$2:$F$5,Lists!$G$2:$G$5))</f>
        <v/>
      </c>
      <c r="P22" s="16">
        <f>IF(A22="","",SUM(H22:K22))</f>
        <v/>
      </c>
      <c r="Q22" s="17">
        <f>IF(A22="","",IFERROR(P22/G22,""))</f>
        <v/>
      </c>
      <c r="R22" s="14">
        <f>IF(OR(A22="",G22=""),"",COUNTIFS($N$2:$N$1000,"&gt;0",$G$2:$G$1000,"&gt;"&amp;G22)+COUNTIFS($N$2:N22,"&gt;0",$G$2:G22,G22))</f>
        <v/>
      </c>
    </row>
    <row r="23">
      <c r="A23" s="9" t="n">
        <v>46287</v>
      </c>
      <c r="B23" s="10" t="inlineStr">
        <is>
          <t>TikTok</t>
        </is>
      </c>
      <c r="C23" s="10" t="inlineStr">
        <is>
          <t>pre-chorus_08m51s-09m13s</t>
        </is>
      </c>
      <c r="D23" s="10" t="inlineStr">
        <is>
          <t>pre-chorus</t>
        </is>
      </c>
      <c r="E23" s="11" t="inlineStr">
        <is>
          <t>https://www.tiktok.com/@yourhandle/video/0000000000000000022</t>
        </is>
      </c>
      <c r="F23" s="12" t="n">
        <v>22</v>
      </c>
      <c r="G23" s="13" t="n">
        <v>4120</v>
      </c>
      <c r="H23" s="13" t="n">
        <v>318</v>
      </c>
      <c r="I23" s="13" t="n">
        <v>15</v>
      </c>
      <c r="J23" s="13" t="n">
        <v>36</v>
      </c>
      <c r="K23" s="13" t="n">
        <v>49</v>
      </c>
      <c r="L23" s="10" t="inlineStr">
        <is>
          <t>No</t>
        </is>
      </c>
      <c r="M23" s="10" t="inlineStr">
        <is>
          <t>Trial reel B, now a main post</t>
        </is>
      </c>
      <c r="N23" s="14">
        <f>IF(A23="","",WEEKNUM(A23,2))</f>
        <v/>
      </c>
      <c r="O23" s="15">
        <f>IF(OR(A23="",F23=""),"",LOOKUP(F23,Lists!$F$2:$F$5,Lists!$G$2:$G$5))</f>
        <v/>
      </c>
      <c r="P23" s="16">
        <f>IF(A23="","",SUM(H23:K23))</f>
        <v/>
      </c>
      <c r="Q23" s="17">
        <f>IF(A23="","",IFERROR(P23/G23,""))</f>
        <v/>
      </c>
      <c r="R23" s="14">
        <f>IF(OR(A23="",G23=""),"",COUNTIFS($N$2:$N$1000,"&gt;0",$G$2:$G$1000,"&gt;"&amp;G23)+COUNTIFS($N$2:N23,"&gt;0",$G$2:G23,G23))</f>
        <v/>
      </c>
    </row>
    <row r="24">
      <c r="A24" s="9" t="n">
        <v>46287</v>
      </c>
      <c r="B24" s="10" t="inlineStr">
        <is>
          <t>Instagram</t>
        </is>
      </c>
      <c r="C24" s="10" t="inlineStr">
        <is>
          <t>pre-chorus_08m51s-09m13s</t>
        </is>
      </c>
      <c r="D24" s="10" t="inlineStr">
        <is>
          <t>pre-chorus</t>
        </is>
      </c>
      <c r="E24" s="11" t="inlineStr">
        <is>
          <t>https://www.instagram.com/reel/placeholder23/</t>
        </is>
      </c>
      <c r="F24" s="12" t="n">
        <v>22</v>
      </c>
      <c r="G24" s="13" t="n">
        <v>2960</v>
      </c>
      <c r="H24" s="13" t="n">
        <v>224</v>
      </c>
      <c r="I24" s="13" t="n">
        <v>10</v>
      </c>
      <c r="J24" s="13" t="n">
        <v>27</v>
      </c>
      <c r="K24" s="13" t="n">
        <v>38</v>
      </c>
      <c r="L24" s="10" t="inlineStr">
        <is>
          <t>No</t>
        </is>
      </c>
      <c r="M24" s="10" t="n"/>
      <c r="N24" s="14">
        <f>IF(A24="","",WEEKNUM(A24,2))</f>
        <v/>
      </c>
      <c r="O24" s="15">
        <f>IF(OR(A24="",F24=""),"",LOOKUP(F24,Lists!$F$2:$F$5,Lists!$G$2:$G$5))</f>
        <v/>
      </c>
      <c r="P24" s="16">
        <f>IF(A24="","",SUM(H24:K24))</f>
        <v/>
      </c>
      <c r="Q24" s="17">
        <f>IF(A24="","",IFERROR(P24/G24,""))</f>
        <v/>
      </c>
      <c r="R24" s="14">
        <f>IF(OR(A24="",G24=""),"",COUNTIFS($N$2:$N$1000,"&gt;0",$G$2:$G$1000,"&gt;"&amp;G24)+COUNTIFS($N$2:N24,"&gt;0",$G$2:G24,G24))</f>
        <v/>
      </c>
    </row>
    <row r="25">
      <c r="A25" s="9" t="n">
        <v>46289</v>
      </c>
      <c r="B25" s="10" t="inlineStr">
        <is>
          <t>YouTube</t>
        </is>
      </c>
      <c r="C25" s="10" t="inlineStr">
        <is>
          <t>pre-chorus_08m51s-09m13s</t>
        </is>
      </c>
      <c r="D25" s="10" t="inlineStr">
        <is>
          <t>pre-chorus</t>
        </is>
      </c>
      <c r="E25" s="11" t="inlineStr">
        <is>
          <t>https://www.youtube.com/shorts/placeholder24</t>
        </is>
      </c>
      <c r="F25" s="12" t="n">
        <v>22</v>
      </c>
      <c r="G25" s="13" t="n"/>
      <c r="H25" s="13" t="n"/>
      <c r="I25" s="13" t="n"/>
      <c r="J25" s="13" t="n"/>
      <c r="K25" s="13" t="n"/>
      <c r="L25" s="10" t="inlineStr">
        <is>
          <t>No</t>
        </is>
      </c>
      <c r="M25" s="10" t="inlineStr">
        <is>
          <t>Fill in the numbers after a week</t>
        </is>
      </c>
      <c r="N25" s="14">
        <f>IF(A25="","",WEEKNUM(A25,2))</f>
        <v/>
      </c>
      <c r="O25" s="15">
        <f>IF(OR(A25="",F25=""),"",LOOKUP(F25,Lists!$F$2:$F$5,Lists!$G$2:$G$5))</f>
        <v/>
      </c>
      <c r="P25" s="16">
        <f>IF(A25="","",SUM(H25:K25))</f>
        <v/>
      </c>
      <c r="Q25" s="17">
        <f>IF(A25="","",IFERROR(P25/G25,""))</f>
        <v/>
      </c>
      <c r="R25" s="14">
        <f>IF(OR(A25="",G25=""),"",COUNTIFS($N$2:$N$1000,"&gt;0",$G$2:$G$1000,"&gt;"&amp;G25)+COUNTIFS($N$2:N25,"&gt;0",$G$2:G25,G25))</f>
        <v/>
      </c>
    </row>
    <row r="26">
      <c r="A26" s="9" t="n"/>
      <c r="B26" s="10" t="n"/>
      <c r="C26" s="10" t="n"/>
      <c r="D26" s="10" t="n"/>
      <c r="E26" s="10" t="n"/>
      <c r="F26" s="12" t="n"/>
      <c r="G26" s="13" t="n"/>
      <c r="H26" s="13" t="n"/>
      <c r="I26" s="13" t="n"/>
      <c r="J26" s="13" t="n"/>
      <c r="K26" s="13" t="n"/>
      <c r="L26" s="10" t="n"/>
      <c r="M26" s="10" t="n"/>
      <c r="N26" s="14">
        <f>IF(A26="","",WEEKNUM(A26,2))</f>
        <v/>
      </c>
      <c r="O26" s="15">
        <f>IF(OR(A26="",F26=""),"",LOOKUP(F26,Lists!$F$2:$F$5,Lists!$G$2:$G$5))</f>
        <v/>
      </c>
      <c r="P26" s="16">
        <f>IF(A26="","",SUM(H26:K26))</f>
        <v/>
      </c>
      <c r="Q26" s="17">
        <f>IF(A26="","",IFERROR(P26/G26,""))</f>
        <v/>
      </c>
      <c r="R26" s="14">
        <f>IF(OR(A26="",G26=""),"",COUNTIFS($N$2:$N$1000,"&gt;0",$G$2:$G$1000,"&gt;"&amp;G26)+COUNTIFS($N$2:N26,"&gt;0",$G$2:G26,G26))</f>
        <v/>
      </c>
    </row>
    <row r="27">
      <c r="A27" s="9" t="n"/>
      <c r="B27" s="10" t="n"/>
      <c r="C27" s="10" t="n"/>
      <c r="D27" s="10" t="n"/>
      <c r="E27" s="10" t="n"/>
      <c r="F27" s="12" t="n"/>
      <c r="G27" s="13" t="n"/>
      <c r="H27" s="13" t="n"/>
      <c r="I27" s="13" t="n"/>
      <c r="J27" s="13" t="n"/>
      <c r="K27" s="13" t="n"/>
      <c r="L27" s="10" t="n"/>
      <c r="M27" s="10" t="n"/>
      <c r="N27" s="14">
        <f>IF(A27="","",WEEKNUM(A27,2))</f>
        <v/>
      </c>
      <c r="O27" s="15">
        <f>IF(OR(A27="",F27=""),"",LOOKUP(F27,Lists!$F$2:$F$5,Lists!$G$2:$G$5))</f>
        <v/>
      </c>
      <c r="P27" s="16">
        <f>IF(A27="","",SUM(H27:K27))</f>
        <v/>
      </c>
      <c r="Q27" s="17">
        <f>IF(A27="","",IFERROR(P27/G27,""))</f>
        <v/>
      </c>
      <c r="R27" s="14">
        <f>IF(OR(A27="",G27=""),"",COUNTIFS($N$2:$N$1000,"&gt;0",$G$2:$G$1000,"&gt;"&amp;G27)+COUNTIFS($N$2:N27,"&gt;0",$G$2:G27,G27))</f>
        <v/>
      </c>
    </row>
    <row r="28">
      <c r="A28" s="9" t="n"/>
      <c r="B28" s="10" t="n"/>
      <c r="C28" s="10" t="n"/>
      <c r="D28" s="10" t="n"/>
      <c r="E28" s="10" t="n"/>
      <c r="F28" s="12" t="n"/>
      <c r="G28" s="13" t="n"/>
      <c r="H28" s="13" t="n"/>
      <c r="I28" s="13" t="n"/>
      <c r="J28" s="13" t="n"/>
      <c r="K28" s="13" t="n"/>
      <c r="L28" s="10" t="n"/>
      <c r="M28" s="10" t="n"/>
      <c r="N28" s="14">
        <f>IF(A28="","",WEEKNUM(A28,2))</f>
        <v/>
      </c>
      <c r="O28" s="15">
        <f>IF(OR(A28="",F28=""),"",LOOKUP(F28,Lists!$F$2:$F$5,Lists!$G$2:$G$5))</f>
        <v/>
      </c>
      <c r="P28" s="16">
        <f>IF(A28="","",SUM(H28:K28))</f>
        <v/>
      </c>
      <c r="Q28" s="17">
        <f>IF(A28="","",IFERROR(P28/G28,""))</f>
        <v/>
      </c>
      <c r="R28" s="14">
        <f>IF(OR(A28="",G28=""),"",COUNTIFS($N$2:$N$1000,"&gt;0",$G$2:$G$1000,"&gt;"&amp;G28)+COUNTIFS($N$2:N28,"&gt;0",$G$2:G28,G28))</f>
        <v/>
      </c>
    </row>
    <row r="29">
      <c r="A29" s="9" t="n"/>
      <c r="B29" s="10" t="n"/>
      <c r="C29" s="10" t="n"/>
      <c r="D29" s="10" t="n"/>
      <c r="E29" s="10" t="n"/>
      <c r="F29" s="12" t="n"/>
      <c r="G29" s="13" t="n"/>
      <c r="H29" s="13" t="n"/>
      <c r="I29" s="13" t="n"/>
      <c r="J29" s="13" t="n"/>
      <c r="K29" s="13" t="n"/>
      <c r="L29" s="10" t="n"/>
      <c r="M29" s="10" t="n"/>
      <c r="N29" s="14">
        <f>IF(A29="","",WEEKNUM(A29,2))</f>
        <v/>
      </c>
      <c r="O29" s="15">
        <f>IF(OR(A29="",F29=""),"",LOOKUP(F29,Lists!$F$2:$F$5,Lists!$G$2:$G$5))</f>
        <v/>
      </c>
      <c r="P29" s="16">
        <f>IF(A29="","",SUM(H29:K29))</f>
        <v/>
      </c>
      <c r="Q29" s="17">
        <f>IF(A29="","",IFERROR(P29/G29,""))</f>
        <v/>
      </c>
      <c r="R29" s="14">
        <f>IF(OR(A29="",G29=""),"",COUNTIFS($N$2:$N$1000,"&gt;0",$G$2:$G$1000,"&gt;"&amp;G29)+COUNTIFS($N$2:N29,"&gt;0",$G$2:G29,G29))</f>
        <v/>
      </c>
    </row>
    <row r="30">
      <c r="A30" s="9" t="n"/>
      <c r="B30" s="10" t="n"/>
      <c r="C30" s="10" t="n"/>
      <c r="D30" s="10" t="n"/>
      <c r="E30" s="10" t="n"/>
      <c r="F30" s="12" t="n"/>
      <c r="G30" s="13" t="n"/>
      <c r="H30" s="13" t="n"/>
      <c r="I30" s="13" t="n"/>
      <c r="J30" s="13" t="n"/>
      <c r="K30" s="13" t="n"/>
      <c r="L30" s="10" t="n"/>
      <c r="M30" s="10" t="n"/>
      <c r="N30" s="14">
        <f>IF(A30="","",WEEKNUM(A30,2))</f>
        <v/>
      </c>
      <c r="O30" s="15">
        <f>IF(OR(A30="",F30=""),"",LOOKUP(F30,Lists!$F$2:$F$5,Lists!$G$2:$G$5))</f>
        <v/>
      </c>
      <c r="P30" s="16">
        <f>IF(A30="","",SUM(H30:K30))</f>
        <v/>
      </c>
      <c r="Q30" s="17">
        <f>IF(A30="","",IFERROR(P30/G30,""))</f>
        <v/>
      </c>
      <c r="R30" s="14">
        <f>IF(OR(A30="",G30=""),"",COUNTIFS($N$2:$N$1000,"&gt;0",$G$2:$G$1000,"&gt;"&amp;G30)+COUNTIFS($N$2:N30,"&gt;0",$G$2:G30,G30))</f>
        <v/>
      </c>
    </row>
    <row r="31">
      <c r="A31" s="9" t="n"/>
      <c r="B31" s="10" t="n"/>
      <c r="C31" s="10" t="n"/>
      <c r="D31" s="10" t="n"/>
      <c r="E31" s="10" t="n"/>
      <c r="F31" s="12" t="n"/>
      <c r="G31" s="13" t="n"/>
      <c r="H31" s="13" t="n"/>
      <c r="I31" s="13" t="n"/>
      <c r="J31" s="13" t="n"/>
      <c r="K31" s="13" t="n"/>
      <c r="L31" s="10" t="n"/>
      <c r="M31" s="10" t="n"/>
      <c r="N31" s="14">
        <f>IF(A31="","",WEEKNUM(A31,2))</f>
        <v/>
      </c>
      <c r="O31" s="15">
        <f>IF(OR(A31="",F31=""),"",LOOKUP(F31,Lists!$F$2:$F$5,Lists!$G$2:$G$5))</f>
        <v/>
      </c>
      <c r="P31" s="16">
        <f>IF(A31="","",SUM(H31:K31))</f>
        <v/>
      </c>
      <c r="Q31" s="17">
        <f>IF(A31="","",IFERROR(P31/G31,""))</f>
        <v/>
      </c>
      <c r="R31" s="14">
        <f>IF(OR(A31="",G31=""),"",COUNTIFS($N$2:$N$1000,"&gt;0",$G$2:$G$1000,"&gt;"&amp;G31)+COUNTIFS($N$2:N31,"&gt;0",$G$2:G31,G31))</f>
        <v/>
      </c>
    </row>
    <row r="32">
      <c r="A32" s="9" t="n"/>
      <c r="B32" s="10" t="n"/>
      <c r="C32" s="10" t="n"/>
      <c r="D32" s="10" t="n"/>
      <c r="E32" s="10" t="n"/>
      <c r="F32" s="12" t="n"/>
      <c r="G32" s="13" t="n"/>
      <c r="H32" s="13" t="n"/>
      <c r="I32" s="13" t="n"/>
      <c r="J32" s="13" t="n"/>
      <c r="K32" s="13" t="n"/>
      <c r="L32" s="10" t="n"/>
      <c r="M32" s="10" t="n"/>
      <c r="N32" s="14">
        <f>IF(A32="","",WEEKNUM(A32,2))</f>
        <v/>
      </c>
      <c r="O32" s="15">
        <f>IF(OR(A32="",F32=""),"",LOOKUP(F32,Lists!$F$2:$F$5,Lists!$G$2:$G$5))</f>
        <v/>
      </c>
      <c r="P32" s="16">
        <f>IF(A32="","",SUM(H32:K32))</f>
        <v/>
      </c>
      <c r="Q32" s="17">
        <f>IF(A32="","",IFERROR(P32/G32,""))</f>
        <v/>
      </c>
      <c r="R32" s="14">
        <f>IF(OR(A32="",G32=""),"",COUNTIFS($N$2:$N$1000,"&gt;0",$G$2:$G$1000,"&gt;"&amp;G32)+COUNTIFS($N$2:N32,"&gt;0",$G$2:G32,G32))</f>
        <v/>
      </c>
    </row>
    <row r="33">
      <c r="A33" s="9" t="n"/>
      <c r="B33" s="10" t="n"/>
      <c r="C33" s="10" t="n"/>
      <c r="D33" s="10" t="n"/>
      <c r="E33" s="10" t="n"/>
      <c r="F33" s="12" t="n"/>
      <c r="G33" s="13" t="n"/>
      <c r="H33" s="13" t="n"/>
      <c r="I33" s="13" t="n"/>
      <c r="J33" s="13" t="n"/>
      <c r="K33" s="13" t="n"/>
      <c r="L33" s="10" t="n"/>
      <c r="M33" s="10" t="n"/>
      <c r="N33" s="14">
        <f>IF(A33="","",WEEKNUM(A33,2))</f>
        <v/>
      </c>
      <c r="O33" s="15">
        <f>IF(OR(A33="",F33=""),"",LOOKUP(F33,Lists!$F$2:$F$5,Lists!$G$2:$G$5))</f>
        <v/>
      </c>
      <c r="P33" s="16">
        <f>IF(A33="","",SUM(H33:K33))</f>
        <v/>
      </c>
      <c r="Q33" s="17">
        <f>IF(A33="","",IFERROR(P33/G33,""))</f>
        <v/>
      </c>
      <c r="R33" s="14">
        <f>IF(OR(A33="",G33=""),"",COUNTIFS($N$2:$N$1000,"&gt;0",$G$2:$G$1000,"&gt;"&amp;G33)+COUNTIFS($N$2:N33,"&gt;0",$G$2:G33,G33))</f>
        <v/>
      </c>
    </row>
    <row r="34">
      <c r="A34" s="9" t="n"/>
      <c r="B34" s="10" t="n"/>
      <c r="C34" s="10" t="n"/>
      <c r="D34" s="10" t="n"/>
      <c r="E34" s="10" t="n"/>
      <c r="F34" s="12" t="n"/>
      <c r="G34" s="13" t="n"/>
      <c r="H34" s="13" t="n"/>
      <c r="I34" s="13" t="n"/>
      <c r="J34" s="13" t="n"/>
      <c r="K34" s="13" t="n"/>
      <c r="L34" s="10" t="n"/>
      <c r="M34" s="10" t="n"/>
      <c r="N34" s="14">
        <f>IF(A34="","",WEEKNUM(A34,2))</f>
        <v/>
      </c>
      <c r="O34" s="15">
        <f>IF(OR(A34="",F34=""),"",LOOKUP(F34,Lists!$F$2:$F$5,Lists!$G$2:$G$5))</f>
        <v/>
      </c>
      <c r="P34" s="16">
        <f>IF(A34="","",SUM(H34:K34))</f>
        <v/>
      </c>
      <c r="Q34" s="17">
        <f>IF(A34="","",IFERROR(P34/G34,""))</f>
        <v/>
      </c>
      <c r="R34" s="14">
        <f>IF(OR(A34="",G34=""),"",COUNTIFS($N$2:$N$1000,"&gt;0",$G$2:$G$1000,"&gt;"&amp;G34)+COUNTIFS($N$2:N34,"&gt;0",$G$2:G34,G34))</f>
        <v/>
      </c>
    </row>
    <row r="35">
      <c r="A35" s="9" t="n"/>
      <c r="B35" s="10" t="n"/>
      <c r="C35" s="10" t="n"/>
      <c r="D35" s="10" t="n"/>
      <c r="E35" s="10" t="n"/>
      <c r="F35" s="12" t="n"/>
      <c r="G35" s="13" t="n"/>
      <c r="H35" s="13" t="n"/>
      <c r="I35" s="13" t="n"/>
      <c r="J35" s="13" t="n"/>
      <c r="K35" s="13" t="n"/>
      <c r="L35" s="10" t="n"/>
      <c r="M35" s="10" t="n"/>
      <c r="N35" s="14">
        <f>IF(A35="","",WEEKNUM(A35,2))</f>
        <v/>
      </c>
      <c r="O35" s="15">
        <f>IF(OR(A35="",F35=""),"",LOOKUP(F35,Lists!$F$2:$F$5,Lists!$G$2:$G$5))</f>
        <v/>
      </c>
      <c r="P35" s="16">
        <f>IF(A35="","",SUM(H35:K35))</f>
        <v/>
      </c>
      <c r="Q35" s="17">
        <f>IF(A35="","",IFERROR(P35/G35,""))</f>
        <v/>
      </c>
      <c r="R35" s="14">
        <f>IF(OR(A35="",G35=""),"",COUNTIFS($N$2:$N$1000,"&gt;0",$G$2:$G$1000,"&gt;"&amp;G35)+COUNTIFS($N$2:N35,"&gt;0",$G$2:G35,G35))</f>
        <v/>
      </c>
    </row>
    <row r="36">
      <c r="A36" s="9" t="n"/>
      <c r="B36" s="10" t="n"/>
      <c r="C36" s="10" t="n"/>
      <c r="D36" s="10" t="n"/>
      <c r="E36" s="10" t="n"/>
      <c r="F36" s="12" t="n"/>
      <c r="G36" s="13" t="n"/>
      <c r="H36" s="13" t="n"/>
      <c r="I36" s="13" t="n"/>
      <c r="J36" s="13" t="n"/>
      <c r="K36" s="13" t="n"/>
      <c r="L36" s="10" t="n"/>
      <c r="M36" s="10" t="n"/>
      <c r="N36" s="14">
        <f>IF(A36="","",WEEKNUM(A36,2))</f>
        <v/>
      </c>
      <c r="O36" s="15">
        <f>IF(OR(A36="",F36=""),"",LOOKUP(F36,Lists!$F$2:$F$5,Lists!$G$2:$G$5))</f>
        <v/>
      </c>
      <c r="P36" s="16">
        <f>IF(A36="","",SUM(H36:K36))</f>
        <v/>
      </c>
      <c r="Q36" s="17">
        <f>IF(A36="","",IFERROR(P36/G36,""))</f>
        <v/>
      </c>
      <c r="R36" s="14">
        <f>IF(OR(A36="",G36=""),"",COUNTIFS($N$2:$N$1000,"&gt;0",$G$2:$G$1000,"&gt;"&amp;G36)+COUNTIFS($N$2:N36,"&gt;0",$G$2:G36,G36))</f>
        <v/>
      </c>
    </row>
    <row r="37">
      <c r="A37" s="9" t="n"/>
      <c r="B37" s="10" t="n"/>
      <c r="C37" s="10" t="n"/>
      <c r="D37" s="10" t="n"/>
      <c r="E37" s="10" t="n"/>
      <c r="F37" s="12" t="n"/>
      <c r="G37" s="13" t="n"/>
      <c r="H37" s="13" t="n"/>
      <c r="I37" s="13" t="n"/>
      <c r="J37" s="13" t="n"/>
      <c r="K37" s="13" t="n"/>
      <c r="L37" s="10" t="n"/>
      <c r="M37" s="10" t="n"/>
      <c r="N37" s="14">
        <f>IF(A37="","",WEEKNUM(A37,2))</f>
        <v/>
      </c>
      <c r="O37" s="15">
        <f>IF(OR(A37="",F37=""),"",LOOKUP(F37,Lists!$F$2:$F$5,Lists!$G$2:$G$5))</f>
        <v/>
      </c>
      <c r="P37" s="16">
        <f>IF(A37="","",SUM(H37:K37))</f>
        <v/>
      </c>
      <c r="Q37" s="17">
        <f>IF(A37="","",IFERROR(P37/G37,""))</f>
        <v/>
      </c>
      <c r="R37" s="14">
        <f>IF(OR(A37="",G37=""),"",COUNTIFS($N$2:$N$1000,"&gt;0",$G$2:$G$1000,"&gt;"&amp;G37)+COUNTIFS($N$2:N37,"&gt;0",$G$2:G37,G37))</f>
        <v/>
      </c>
    </row>
    <row r="38">
      <c r="A38" s="9" t="n"/>
      <c r="B38" s="10" t="n"/>
      <c r="C38" s="10" t="n"/>
      <c r="D38" s="10" t="n"/>
      <c r="E38" s="10" t="n"/>
      <c r="F38" s="12" t="n"/>
      <c r="G38" s="13" t="n"/>
      <c r="H38" s="13" t="n"/>
      <c r="I38" s="13" t="n"/>
      <c r="J38" s="13" t="n"/>
      <c r="K38" s="13" t="n"/>
      <c r="L38" s="10" t="n"/>
      <c r="M38" s="10" t="n"/>
      <c r="N38" s="14">
        <f>IF(A38="","",WEEKNUM(A38,2))</f>
        <v/>
      </c>
      <c r="O38" s="15">
        <f>IF(OR(A38="",F38=""),"",LOOKUP(F38,Lists!$F$2:$F$5,Lists!$G$2:$G$5))</f>
        <v/>
      </c>
      <c r="P38" s="16">
        <f>IF(A38="","",SUM(H38:K38))</f>
        <v/>
      </c>
      <c r="Q38" s="17">
        <f>IF(A38="","",IFERROR(P38/G38,""))</f>
        <v/>
      </c>
      <c r="R38" s="14">
        <f>IF(OR(A38="",G38=""),"",COUNTIFS($N$2:$N$1000,"&gt;0",$G$2:$G$1000,"&gt;"&amp;G38)+COUNTIFS($N$2:N38,"&gt;0",$G$2:G38,G38))</f>
        <v/>
      </c>
    </row>
    <row r="39">
      <c r="A39" s="9" t="n"/>
      <c r="B39" s="10" t="n"/>
      <c r="C39" s="10" t="n"/>
      <c r="D39" s="10" t="n"/>
      <c r="E39" s="10" t="n"/>
      <c r="F39" s="12" t="n"/>
      <c r="G39" s="13" t="n"/>
      <c r="H39" s="13" t="n"/>
      <c r="I39" s="13" t="n"/>
      <c r="J39" s="13" t="n"/>
      <c r="K39" s="13" t="n"/>
      <c r="L39" s="10" t="n"/>
      <c r="M39" s="10" t="n"/>
      <c r="N39" s="14">
        <f>IF(A39="","",WEEKNUM(A39,2))</f>
        <v/>
      </c>
      <c r="O39" s="15">
        <f>IF(OR(A39="",F39=""),"",LOOKUP(F39,Lists!$F$2:$F$5,Lists!$G$2:$G$5))</f>
        <v/>
      </c>
      <c r="P39" s="16">
        <f>IF(A39="","",SUM(H39:K39))</f>
        <v/>
      </c>
      <c r="Q39" s="17">
        <f>IF(A39="","",IFERROR(P39/G39,""))</f>
        <v/>
      </c>
      <c r="R39" s="14">
        <f>IF(OR(A39="",G39=""),"",COUNTIFS($N$2:$N$1000,"&gt;0",$G$2:$G$1000,"&gt;"&amp;G39)+COUNTIFS($N$2:N39,"&gt;0",$G$2:G39,G39))</f>
        <v/>
      </c>
    </row>
    <row r="40">
      <c r="A40" s="9" t="n"/>
      <c r="B40" s="10" t="n"/>
      <c r="C40" s="10" t="n"/>
      <c r="D40" s="10" t="n"/>
      <c r="E40" s="10" t="n"/>
      <c r="F40" s="12" t="n"/>
      <c r="G40" s="13" t="n"/>
      <c r="H40" s="13" t="n"/>
      <c r="I40" s="13" t="n"/>
      <c r="J40" s="13" t="n"/>
      <c r="K40" s="13" t="n"/>
      <c r="L40" s="10" t="n"/>
      <c r="M40" s="10" t="n"/>
      <c r="N40" s="14">
        <f>IF(A40="","",WEEKNUM(A40,2))</f>
        <v/>
      </c>
      <c r="O40" s="15">
        <f>IF(OR(A40="",F40=""),"",LOOKUP(F40,Lists!$F$2:$F$5,Lists!$G$2:$G$5))</f>
        <v/>
      </c>
      <c r="P40" s="16">
        <f>IF(A40="","",SUM(H40:K40))</f>
        <v/>
      </c>
      <c r="Q40" s="17">
        <f>IF(A40="","",IFERROR(P40/G40,""))</f>
        <v/>
      </c>
      <c r="R40" s="14">
        <f>IF(OR(A40="",G40=""),"",COUNTIFS($N$2:$N$1000,"&gt;0",$G$2:$G$1000,"&gt;"&amp;G40)+COUNTIFS($N$2:N40,"&gt;0",$G$2:G40,G40))</f>
        <v/>
      </c>
    </row>
    <row r="41">
      <c r="A41" s="9" t="n"/>
      <c r="B41" s="10" t="n"/>
      <c r="C41" s="10" t="n"/>
      <c r="D41" s="10" t="n"/>
      <c r="E41" s="10" t="n"/>
      <c r="F41" s="12" t="n"/>
      <c r="G41" s="13" t="n"/>
      <c r="H41" s="13" t="n"/>
      <c r="I41" s="13" t="n"/>
      <c r="J41" s="13" t="n"/>
      <c r="K41" s="13" t="n"/>
      <c r="L41" s="10" t="n"/>
      <c r="M41" s="10" t="n"/>
      <c r="N41" s="14">
        <f>IF(A41="","",WEEKNUM(A41,2))</f>
        <v/>
      </c>
      <c r="O41" s="15">
        <f>IF(OR(A41="",F41=""),"",LOOKUP(F41,Lists!$F$2:$F$5,Lists!$G$2:$G$5))</f>
        <v/>
      </c>
      <c r="P41" s="16">
        <f>IF(A41="","",SUM(H41:K41))</f>
        <v/>
      </c>
      <c r="Q41" s="17">
        <f>IF(A41="","",IFERROR(P41/G41,""))</f>
        <v/>
      </c>
      <c r="R41" s="14">
        <f>IF(OR(A41="",G41=""),"",COUNTIFS($N$2:$N$1000,"&gt;0",$G$2:$G$1000,"&gt;"&amp;G41)+COUNTIFS($N$2:N41,"&gt;0",$G$2:G41,G41))</f>
        <v/>
      </c>
    </row>
    <row r="42">
      <c r="A42" s="9" t="n"/>
      <c r="B42" s="10" t="n"/>
      <c r="C42" s="10" t="n"/>
      <c r="D42" s="10" t="n"/>
      <c r="E42" s="10" t="n"/>
      <c r="F42" s="12" t="n"/>
      <c r="G42" s="13" t="n"/>
      <c r="H42" s="13" t="n"/>
      <c r="I42" s="13" t="n"/>
      <c r="J42" s="13" t="n"/>
      <c r="K42" s="13" t="n"/>
      <c r="L42" s="10" t="n"/>
      <c r="M42" s="10" t="n"/>
      <c r="N42" s="14">
        <f>IF(A42="","",WEEKNUM(A42,2))</f>
        <v/>
      </c>
      <c r="O42" s="15">
        <f>IF(OR(A42="",F42=""),"",LOOKUP(F42,Lists!$F$2:$F$5,Lists!$G$2:$G$5))</f>
        <v/>
      </c>
      <c r="P42" s="16">
        <f>IF(A42="","",SUM(H42:K42))</f>
        <v/>
      </c>
      <c r="Q42" s="17">
        <f>IF(A42="","",IFERROR(P42/G42,""))</f>
        <v/>
      </c>
      <c r="R42" s="14">
        <f>IF(OR(A42="",G42=""),"",COUNTIFS($N$2:$N$1000,"&gt;0",$G$2:$G$1000,"&gt;"&amp;G42)+COUNTIFS($N$2:N42,"&gt;0",$G$2:G42,G42))</f>
        <v/>
      </c>
    </row>
    <row r="43">
      <c r="A43" s="9" t="n"/>
      <c r="B43" s="10" t="n"/>
      <c r="C43" s="10" t="n"/>
      <c r="D43" s="10" t="n"/>
      <c r="E43" s="10" t="n"/>
      <c r="F43" s="12" t="n"/>
      <c r="G43" s="13" t="n"/>
      <c r="H43" s="13" t="n"/>
      <c r="I43" s="13" t="n"/>
      <c r="J43" s="13" t="n"/>
      <c r="K43" s="13" t="n"/>
      <c r="L43" s="10" t="n"/>
      <c r="M43" s="10" t="n"/>
      <c r="N43" s="14">
        <f>IF(A43="","",WEEKNUM(A43,2))</f>
        <v/>
      </c>
      <c r="O43" s="15">
        <f>IF(OR(A43="",F43=""),"",LOOKUP(F43,Lists!$F$2:$F$5,Lists!$G$2:$G$5))</f>
        <v/>
      </c>
      <c r="P43" s="16">
        <f>IF(A43="","",SUM(H43:K43))</f>
        <v/>
      </c>
      <c r="Q43" s="17">
        <f>IF(A43="","",IFERROR(P43/G43,""))</f>
        <v/>
      </c>
      <c r="R43" s="14">
        <f>IF(OR(A43="",G43=""),"",COUNTIFS($N$2:$N$1000,"&gt;0",$G$2:$G$1000,"&gt;"&amp;G43)+COUNTIFS($N$2:N43,"&gt;0",$G$2:G43,G43))</f>
        <v/>
      </c>
    </row>
    <row r="44">
      <c r="A44" s="9" t="n"/>
      <c r="B44" s="10" t="n"/>
      <c r="C44" s="10" t="n"/>
      <c r="D44" s="10" t="n"/>
      <c r="E44" s="10" t="n"/>
      <c r="F44" s="12" t="n"/>
      <c r="G44" s="13" t="n"/>
      <c r="H44" s="13" t="n"/>
      <c r="I44" s="13" t="n"/>
      <c r="J44" s="13" t="n"/>
      <c r="K44" s="13" t="n"/>
      <c r="L44" s="10" t="n"/>
      <c r="M44" s="10" t="n"/>
      <c r="N44" s="14">
        <f>IF(A44="","",WEEKNUM(A44,2))</f>
        <v/>
      </c>
      <c r="O44" s="15">
        <f>IF(OR(A44="",F44=""),"",LOOKUP(F44,Lists!$F$2:$F$5,Lists!$G$2:$G$5))</f>
        <v/>
      </c>
      <c r="P44" s="16">
        <f>IF(A44="","",SUM(H44:K44))</f>
        <v/>
      </c>
      <c r="Q44" s="17">
        <f>IF(A44="","",IFERROR(P44/G44,""))</f>
        <v/>
      </c>
      <c r="R44" s="14">
        <f>IF(OR(A44="",G44=""),"",COUNTIFS($N$2:$N$1000,"&gt;0",$G$2:$G$1000,"&gt;"&amp;G44)+COUNTIFS($N$2:N44,"&gt;0",$G$2:G44,G44))</f>
        <v/>
      </c>
    </row>
    <row r="45">
      <c r="A45" s="9" t="n"/>
      <c r="B45" s="10" t="n"/>
      <c r="C45" s="10" t="n"/>
      <c r="D45" s="10" t="n"/>
      <c r="E45" s="10" t="n"/>
      <c r="F45" s="12" t="n"/>
      <c r="G45" s="13" t="n"/>
      <c r="H45" s="13" t="n"/>
      <c r="I45" s="13" t="n"/>
      <c r="J45" s="13" t="n"/>
      <c r="K45" s="13" t="n"/>
      <c r="L45" s="10" t="n"/>
      <c r="M45" s="10" t="n"/>
      <c r="N45" s="14">
        <f>IF(A45="","",WEEKNUM(A45,2))</f>
        <v/>
      </c>
      <c r="O45" s="15">
        <f>IF(OR(A45="",F45=""),"",LOOKUP(F45,Lists!$F$2:$F$5,Lists!$G$2:$G$5))</f>
        <v/>
      </c>
      <c r="P45" s="16">
        <f>IF(A45="","",SUM(H45:K45))</f>
        <v/>
      </c>
      <c r="Q45" s="17">
        <f>IF(A45="","",IFERROR(P45/G45,""))</f>
        <v/>
      </c>
      <c r="R45" s="14">
        <f>IF(OR(A45="",G45=""),"",COUNTIFS($N$2:$N$1000,"&gt;0",$G$2:$G$1000,"&gt;"&amp;G45)+COUNTIFS($N$2:N45,"&gt;0",$G$2:G45,G45))</f>
        <v/>
      </c>
    </row>
    <row r="46">
      <c r="A46" s="9" t="n"/>
      <c r="B46" s="10" t="n"/>
      <c r="C46" s="10" t="n"/>
      <c r="D46" s="10" t="n"/>
      <c r="E46" s="10" t="n"/>
      <c r="F46" s="12" t="n"/>
      <c r="G46" s="13" t="n"/>
      <c r="H46" s="13" t="n"/>
      <c r="I46" s="13" t="n"/>
      <c r="J46" s="13" t="n"/>
      <c r="K46" s="13" t="n"/>
      <c r="L46" s="10" t="n"/>
      <c r="M46" s="10" t="n"/>
      <c r="N46" s="14">
        <f>IF(A46="","",WEEKNUM(A46,2))</f>
        <v/>
      </c>
      <c r="O46" s="15">
        <f>IF(OR(A46="",F46=""),"",LOOKUP(F46,Lists!$F$2:$F$5,Lists!$G$2:$G$5))</f>
        <v/>
      </c>
      <c r="P46" s="16">
        <f>IF(A46="","",SUM(H46:K46))</f>
        <v/>
      </c>
      <c r="Q46" s="17">
        <f>IF(A46="","",IFERROR(P46/G46,""))</f>
        <v/>
      </c>
      <c r="R46" s="14">
        <f>IF(OR(A46="",G46=""),"",COUNTIFS($N$2:$N$1000,"&gt;0",$G$2:$G$1000,"&gt;"&amp;G46)+COUNTIFS($N$2:N46,"&gt;0",$G$2:G46,G46))</f>
        <v/>
      </c>
    </row>
    <row r="47">
      <c r="A47" s="9" t="n"/>
      <c r="B47" s="10" t="n"/>
      <c r="C47" s="10" t="n"/>
      <c r="D47" s="10" t="n"/>
      <c r="E47" s="10" t="n"/>
      <c r="F47" s="12" t="n"/>
      <c r="G47" s="13" t="n"/>
      <c r="H47" s="13" t="n"/>
      <c r="I47" s="13" t="n"/>
      <c r="J47" s="13" t="n"/>
      <c r="K47" s="13" t="n"/>
      <c r="L47" s="10" t="n"/>
      <c r="M47" s="10" t="n"/>
      <c r="N47" s="14">
        <f>IF(A47="","",WEEKNUM(A47,2))</f>
        <v/>
      </c>
      <c r="O47" s="15">
        <f>IF(OR(A47="",F47=""),"",LOOKUP(F47,Lists!$F$2:$F$5,Lists!$G$2:$G$5))</f>
        <v/>
      </c>
      <c r="P47" s="16">
        <f>IF(A47="","",SUM(H47:K47))</f>
        <v/>
      </c>
      <c r="Q47" s="17">
        <f>IF(A47="","",IFERROR(P47/G47,""))</f>
        <v/>
      </c>
      <c r="R47" s="14">
        <f>IF(OR(A47="",G47=""),"",COUNTIFS($N$2:$N$1000,"&gt;0",$G$2:$G$1000,"&gt;"&amp;G47)+COUNTIFS($N$2:N47,"&gt;0",$G$2:G47,G47))</f>
        <v/>
      </c>
    </row>
    <row r="48">
      <c r="A48" s="9" t="n"/>
      <c r="B48" s="10" t="n"/>
      <c r="C48" s="10" t="n"/>
      <c r="D48" s="10" t="n"/>
      <c r="E48" s="10" t="n"/>
      <c r="F48" s="12" t="n"/>
      <c r="G48" s="13" t="n"/>
      <c r="H48" s="13" t="n"/>
      <c r="I48" s="13" t="n"/>
      <c r="J48" s="13" t="n"/>
      <c r="K48" s="13" t="n"/>
      <c r="L48" s="10" t="n"/>
      <c r="M48" s="10" t="n"/>
      <c r="N48" s="14">
        <f>IF(A48="","",WEEKNUM(A48,2))</f>
        <v/>
      </c>
      <c r="O48" s="15">
        <f>IF(OR(A48="",F48=""),"",LOOKUP(F48,Lists!$F$2:$F$5,Lists!$G$2:$G$5))</f>
        <v/>
      </c>
      <c r="P48" s="16">
        <f>IF(A48="","",SUM(H48:K48))</f>
        <v/>
      </c>
      <c r="Q48" s="17">
        <f>IF(A48="","",IFERROR(P48/G48,""))</f>
        <v/>
      </c>
      <c r="R48" s="14">
        <f>IF(OR(A48="",G48=""),"",COUNTIFS($N$2:$N$1000,"&gt;0",$G$2:$G$1000,"&gt;"&amp;G48)+COUNTIFS($N$2:N48,"&gt;0",$G$2:G48,G48))</f>
        <v/>
      </c>
    </row>
    <row r="49">
      <c r="A49" s="9" t="n"/>
      <c r="B49" s="10" t="n"/>
      <c r="C49" s="10" t="n"/>
      <c r="D49" s="10" t="n"/>
      <c r="E49" s="10" t="n"/>
      <c r="F49" s="12" t="n"/>
      <c r="G49" s="13" t="n"/>
      <c r="H49" s="13" t="n"/>
      <c r="I49" s="13" t="n"/>
      <c r="J49" s="13" t="n"/>
      <c r="K49" s="13" t="n"/>
      <c r="L49" s="10" t="n"/>
      <c r="M49" s="10" t="n"/>
      <c r="N49" s="14">
        <f>IF(A49="","",WEEKNUM(A49,2))</f>
        <v/>
      </c>
      <c r="O49" s="15">
        <f>IF(OR(A49="",F49=""),"",LOOKUP(F49,Lists!$F$2:$F$5,Lists!$G$2:$G$5))</f>
        <v/>
      </c>
      <c r="P49" s="16">
        <f>IF(A49="","",SUM(H49:K49))</f>
        <v/>
      </c>
      <c r="Q49" s="17">
        <f>IF(A49="","",IFERROR(P49/G49,""))</f>
        <v/>
      </c>
      <c r="R49" s="14">
        <f>IF(OR(A49="",G49=""),"",COUNTIFS($N$2:$N$1000,"&gt;0",$G$2:$G$1000,"&gt;"&amp;G49)+COUNTIFS($N$2:N49,"&gt;0",$G$2:G49,G49))</f>
        <v/>
      </c>
    </row>
    <row r="50">
      <c r="A50" s="9" t="n"/>
      <c r="B50" s="10" t="n"/>
      <c r="C50" s="10" t="n"/>
      <c r="D50" s="10" t="n"/>
      <c r="E50" s="10" t="n"/>
      <c r="F50" s="12" t="n"/>
      <c r="G50" s="13" t="n"/>
      <c r="H50" s="13" t="n"/>
      <c r="I50" s="13" t="n"/>
      <c r="J50" s="13" t="n"/>
      <c r="K50" s="13" t="n"/>
      <c r="L50" s="10" t="n"/>
      <c r="M50" s="10" t="n"/>
      <c r="N50" s="14">
        <f>IF(A50="","",WEEKNUM(A50,2))</f>
        <v/>
      </c>
      <c r="O50" s="15">
        <f>IF(OR(A50="",F50=""),"",LOOKUP(F50,Lists!$F$2:$F$5,Lists!$G$2:$G$5))</f>
        <v/>
      </c>
      <c r="P50" s="16">
        <f>IF(A50="","",SUM(H50:K50))</f>
        <v/>
      </c>
      <c r="Q50" s="17">
        <f>IF(A50="","",IFERROR(P50/G50,""))</f>
        <v/>
      </c>
      <c r="R50" s="14">
        <f>IF(OR(A50="",G50=""),"",COUNTIFS($N$2:$N$1000,"&gt;0",$G$2:$G$1000,"&gt;"&amp;G50)+COUNTIFS($N$2:N50,"&gt;0",$G$2:G50,G50))</f>
        <v/>
      </c>
    </row>
    <row r="51">
      <c r="A51" s="9" t="n"/>
      <c r="B51" s="10" t="n"/>
      <c r="C51" s="10" t="n"/>
      <c r="D51" s="10" t="n"/>
      <c r="E51" s="10" t="n"/>
      <c r="F51" s="12" t="n"/>
      <c r="G51" s="13" t="n"/>
      <c r="H51" s="13" t="n"/>
      <c r="I51" s="13" t="n"/>
      <c r="J51" s="13" t="n"/>
      <c r="K51" s="13" t="n"/>
      <c r="L51" s="10" t="n"/>
      <c r="M51" s="10" t="n"/>
      <c r="N51" s="14">
        <f>IF(A51="","",WEEKNUM(A51,2))</f>
        <v/>
      </c>
      <c r="O51" s="15">
        <f>IF(OR(A51="",F51=""),"",LOOKUP(F51,Lists!$F$2:$F$5,Lists!$G$2:$G$5))</f>
        <v/>
      </c>
      <c r="P51" s="16">
        <f>IF(A51="","",SUM(H51:K51))</f>
        <v/>
      </c>
      <c r="Q51" s="17">
        <f>IF(A51="","",IFERROR(P51/G51,""))</f>
        <v/>
      </c>
      <c r="R51" s="14">
        <f>IF(OR(A51="",G51=""),"",COUNTIFS($N$2:$N$1000,"&gt;0",$G$2:$G$1000,"&gt;"&amp;G51)+COUNTIFS($N$2:N51,"&gt;0",$G$2:G51,G51))</f>
        <v/>
      </c>
    </row>
    <row r="52">
      <c r="A52" s="9" t="n"/>
      <c r="B52" s="10" t="n"/>
      <c r="C52" s="10" t="n"/>
      <c r="D52" s="10" t="n"/>
      <c r="E52" s="10" t="n"/>
      <c r="F52" s="12" t="n"/>
      <c r="G52" s="13" t="n"/>
      <c r="H52" s="13" t="n"/>
      <c r="I52" s="13" t="n"/>
      <c r="J52" s="13" t="n"/>
      <c r="K52" s="13" t="n"/>
      <c r="L52" s="10" t="n"/>
      <c r="M52" s="10" t="n"/>
      <c r="N52" s="14">
        <f>IF(A52="","",WEEKNUM(A52,2))</f>
        <v/>
      </c>
      <c r="O52" s="15">
        <f>IF(OR(A52="",F52=""),"",LOOKUP(F52,Lists!$F$2:$F$5,Lists!$G$2:$G$5))</f>
        <v/>
      </c>
      <c r="P52" s="16">
        <f>IF(A52="","",SUM(H52:K52))</f>
        <v/>
      </c>
      <c r="Q52" s="17">
        <f>IF(A52="","",IFERROR(P52/G52,""))</f>
        <v/>
      </c>
      <c r="R52" s="14">
        <f>IF(OR(A52="",G52=""),"",COUNTIFS($N$2:$N$1000,"&gt;0",$G$2:$G$1000,"&gt;"&amp;G52)+COUNTIFS($N$2:N52,"&gt;0",$G$2:G52,G52))</f>
        <v/>
      </c>
    </row>
    <row r="53">
      <c r="A53" s="9" t="n"/>
      <c r="B53" s="10" t="n"/>
      <c r="C53" s="10" t="n"/>
      <c r="D53" s="10" t="n"/>
      <c r="E53" s="10" t="n"/>
      <c r="F53" s="12" t="n"/>
      <c r="G53" s="13" t="n"/>
      <c r="H53" s="13" t="n"/>
      <c r="I53" s="13" t="n"/>
      <c r="J53" s="13" t="n"/>
      <c r="K53" s="13" t="n"/>
      <c r="L53" s="10" t="n"/>
      <c r="M53" s="10" t="n"/>
      <c r="N53" s="14">
        <f>IF(A53="","",WEEKNUM(A53,2))</f>
        <v/>
      </c>
      <c r="O53" s="15">
        <f>IF(OR(A53="",F53=""),"",LOOKUP(F53,Lists!$F$2:$F$5,Lists!$G$2:$G$5))</f>
        <v/>
      </c>
      <c r="P53" s="16">
        <f>IF(A53="","",SUM(H53:K53))</f>
        <v/>
      </c>
      <c r="Q53" s="17">
        <f>IF(A53="","",IFERROR(P53/G53,""))</f>
        <v/>
      </c>
      <c r="R53" s="14">
        <f>IF(OR(A53="",G53=""),"",COUNTIFS($N$2:$N$1000,"&gt;0",$G$2:$G$1000,"&gt;"&amp;G53)+COUNTIFS($N$2:N53,"&gt;0",$G$2:G53,G53))</f>
        <v/>
      </c>
    </row>
    <row r="54">
      <c r="A54" s="9" t="n"/>
      <c r="B54" s="10" t="n"/>
      <c r="C54" s="10" t="n"/>
      <c r="D54" s="10" t="n"/>
      <c r="E54" s="10" t="n"/>
      <c r="F54" s="12" t="n"/>
      <c r="G54" s="13" t="n"/>
      <c r="H54" s="13" t="n"/>
      <c r="I54" s="13" t="n"/>
      <c r="J54" s="13" t="n"/>
      <c r="K54" s="13" t="n"/>
      <c r="L54" s="10" t="n"/>
      <c r="M54" s="10" t="n"/>
      <c r="N54" s="14">
        <f>IF(A54="","",WEEKNUM(A54,2))</f>
        <v/>
      </c>
      <c r="O54" s="15">
        <f>IF(OR(A54="",F54=""),"",LOOKUP(F54,Lists!$F$2:$F$5,Lists!$G$2:$G$5))</f>
        <v/>
      </c>
      <c r="P54" s="16">
        <f>IF(A54="","",SUM(H54:K54))</f>
        <v/>
      </c>
      <c r="Q54" s="17">
        <f>IF(A54="","",IFERROR(P54/G54,""))</f>
        <v/>
      </c>
      <c r="R54" s="14">
        <f>IF(OR(A54="",G54=""),"",COUNTIFS($N$2:$N$1000,"&gt;0",$G$2:$G$1000,"&gt;"&amp;G54)+COUNTIFS($N$2:N54,"&gt;0",$G$2:G54,G54))</f>
        <v/>
      </c>
    </row>
    <row r="55">
      <c r="A55" s="9" t="n"/>
      <c r="B55" s="10" t="n"/>
      <c r="C55" s="10" t="n"/>
      <c r="D55" s="10" t="n"/>
      <c r="E55" s="10" t="n"/>
      <c r="F55" s="12" t="n"/>
      <c r="G55" s="13" t="n"/>
      <c r="H55" s="13" t="n"/>
      <c r="I55" s="13" t="n"/>
      <c r="J55" s="13" t="n"/>
      <c r="K55" s="13" t="n"/>
      <c r="L55" s="10" t="n"/>
      <c r="M55" s="10" t="n"/>
      <c r="N55" s="14">
        <f>IF(A55="","",WEEKNUM(A55,2))</f>
        <v/>
      </c>
      <c r="O55" s="15">
        <f>IF(OR(A55="",F55=""),"",LOOKUP(F55,Lists!$F$2:$F$5,Lists!$G$2:$G$5))</f>
        <v/>
      </c>
      <c r="P55" s="16">
        <f>IF(A55="","",SUM(H55:K55))</f>
        <v/>
      </c>
      <c r="Q55" s="17">
        <f>IF(A55="","",IFERROR(P55/G55,""))</f>
        <v/>
      </c>
      <c r="R55" s="14">
        <f>IF(OR(A55="",G55=""),"",COUNTIFS($N$2:$N$1000,"&gt;0",$G$2:$G$1000,"&gt;"&amp;G55)+COUNTIFS($N$2:N55,"&gt;0",$G$2:G55,G55))</f>
        <v/>
      </c>
    </row>
    <row r="56">
      <c r="A56" s="9" t="n"/>
      <c r="B56" s="10" t="n"/>
      <c r="C56" s="10" t="n"/>
      <c r="D56" s="10" t="n"/>
      <c r="E56" s="10" t="n"/>
      <c r="F56" s="12" t="n"/>
      <c r="G56" s="13" t="n"/>
      <c r="H56" s="13" t="n"/>
      <c r="I56" s="13" t="n"/>
      <c r="J56" s="13" t="n"/>
      <c r="K56" s="13" t="n"/>
      <c r="L56" s="10" t="n"/>
      <c r="M56" s="10" t="n"/>
      <c r="N56" s="14">
        <f>IF(A56="","",WEEKNUM(A56,2))</f>
        <v/>
      </c>
      <c r="O56" s="15">
        <f>IF(OR(A56="",F56=""),"",LOOKUP(F56,Lists!$F$2:$F$5,Lists!$G$2:$G$5))</f>
        <v/>
      </c>
      <c r="P56" s="16">
        <f>IF(A56="","",SUM(H56:K56))</f>
        <v/>
      </c>
      <c r="Q56" s="17">
        <f>IF(A56="","",IFERROR(P56/G56,""))</f>
        <v/>
      </c>
      <c r="R56" s="14">
        <f>IF(OR(A56="",G56=""),"",COUNTIFS($N$2:$N$1000,"&gt;0",$G$2:$G$1000,"&gt;"&amp;G56)+COUNTIFS($N$2:N56,"&gt;0",$G$2:G56,G56))</f>
        <v/>
      </c>
    </row>
    <row r="57">
      <c r="A57" s="9" t="n"/>
      <c r="B57" s="10" t="n"/>
      <c r="C57" s="10" t="n"/>
      <c r="D57" s="10" t="n"/>
      <c r="E57" s="10" t="n"/>
      <c r="F57" s="12" t="n"/>
      <c r="G57" s="13" t="n"/>
      <c r="H57" s="13" t="n"/>
      <c r="I57" s="13" t="n"/>
      <c r="J57" s="13" t="n"/>
      <c r="K57" s="13" t="n"/>
      <c r="L57" s="10" t="n"/>
      <c r="M57" s="10" t="n"/>
      <c r="N57" s="14">
        <f>IF(A57="","",WEEKNUM(A57,2))</f>
        <v/>
      </c>
      <c r="O57" s="15">
        <f>IF(OR(A57="",F57=""),"",LOOKUP(F57,Lists!$F$2:$F$5,Lists!$G$2:$G$5))</f>
        <v/>
      </c>
      <c r="P57" s="16">
        <f>IF(A57="","",SUM(H57:K57))</f>
        <v/>
      </c>
      <c r="Q57" s="17">
        <f>IF(A57="","",IFERROR(P57/G57,""))</f>
        <v/>
      </c>
      <c r="R57" s="14">
        <f>IF(OR(A57="",G57=""),"",COUNTIFS($N$2:$N$1000,"&gt;0",$G$2:$G$1000,"&gt;"&amp;G57)+COUNTIFS($N$2:N57,"&gt;0",$G$2:G57,G57))</f>
        <v/>
      </c>
    </row>
    <row r="58">
      <c r="A58" s="9" t="n"/>
      <c r="B58" s="10" t="n"/>
      <c r="C58" s="10" t="n"/>
      <c r="D58" s="10" t="n"/>
      <c r="E58" s="10" t="n"/>
      <c r="F58" s="12" t="n"/>
      <c r="G58" s="13" t="n"/>
      <c r="H58" s="13" t="n"/>
      <c r="I58" s="13" t="n"/>
      <c r="J58" s="13" t="n"/>
      <c r="K58" s="13" t="n"/>
      <c r="L58" s="10" t="n"/>
      <c r="M58" s="10" t="n"/>
      <c r="N58" s="14">
        <f>IF(A58="","",WEEKNUM(A58,2))</f>
        <v/>
      </c>
      <c r="O58" s="15">
        <f>IF(OR(A58="",F58=""),"",LOOKUP(F58,Lists!$F$2:$F$5,Lists!$G$2:$G$5))</f>
        <v/>
      </c>
      <c r="P58" s="16">
        <f>IF(A58="","",SUM(H58:K58))</f>
        <v/>
      </c>
      <c r="Q58" s="17">
        <f>IF(A58="","",IFERROR(P58/G58,""))</f>
        <v/>
      </c>
      <c r="R58" s="14">
        <f>IF(OR(A58="",G58=""),"",COUNTIFS($N$2:$N$1000,"&gt;0",$G$2:$G$1000,"&gt;"&amp;G58)+COUNTIFS($N$2:N58,"&gt;0",$G$2:G58,G58))</f>
        <v/>
      </c>
    </row>
    <row r="59">
      <c r="A59" s="9" t="n"/>
      <c r="B59" s="10" t="n"/>
      <c r="C59" s="10" t="n"/>
      <c r="D59" s="10" t="n"/>
      <c r="E59" s="10" t="n"/>
      <c r="F59" s="12" t="n"/>
      <c r="G59" s="13" t="n"/>
      <c r="H59" s="13" t="n"/>
      <c r="I59" s="13" t="n"/>
      <c r="J59" s="13" t="n"/>
      <c r="K59" s="13" t="n"/>
      <c r="L59" s="10" t="n"/>
      <c r="M59" s="10" t="n"/>
      <c r="N59" s="14">
        <f>IF(A59="","",WEEKNUM(A59,2))</f>
        <v/>
      </c>
      <c r="O59" s="15">
        <f>IF(OR(A59="",F59=""),"",LOOKUP(F59,Lists!$F$2:$F$5,Lists!$G$2:$G$5))</f>
        <v/>
      </c>
      <c r="P59" s="16">
        <f>IF(A59="","",SUM(H59:K59))</f>
        <v/>
      </c>
      <c r="Q59" s="17">
        <f>IF(A59="","",IFERROR(P59/G59,""))</f>
        <v/>
      </c>
      <c r="R59" s="14">
        <f>IF(OR(A59="",G59=""),"",COUNTIFS($N$2:$N$1000,"&gt;0",$G$2:$G$1000,"&gt;"&amp;G59)+COUNTIFS($N$2:N59,"&gt;0",$G$2:G59,G59))</f>
        <v/>
      </c>
    </row>
    <row r="60">
      <c r="A60" s="9" t="n"/>
      <c r="B60" s="10" t="n"/>
      <c r="C60" s="10" t="n"/>
      <c r="D60" s="10" t="n"/>
      <c r="E60" s="10" t="n"/>
      <c r="F60" s="12" t="n"/>
      <c r="G60" s="13" t="n"/>
      <c r="H60" s="13" t="n"/>
      <c r="I60" s="13" t="n"/>
      <c r="J60" s="13" t="n"/>
      <c r="K60" s="13" t="n"/>
      <c r="L60" s="10" t="n"/>
      <c r="M60" s="10" t="n"/>
      <c r="N60" s="14">
        <f>IF(A60="","",WEEKNUM(A60,2))</f>
        <v/>
      </c>
      <c r="O60" s="15">
        <f>IF(OR(A60="",F60=""),"",LOOKUP(F60,Lists!$F$2:$F$5,Lists!$G$2:$G$5))</f>
        <v/>
      </c>
      <c r="P60" s="16">
        <f>IF(A60="","",SUM(H60:K60))</f>
        <v/>
      </c>
      <c r="Q60" s="17">
        <f>IF(A60="","",IFERROR(P60/G60,""))</f>
        <v/>
      </c>
      <c r="R60" s="14">
        <f>IF(OR(A60="",G60=""),"",COUNTIFS($N$2:$N$1000,"&gt;0",$G$2:$G$1000,"&gt;"&amp;G60)+COUNTIFS($N$2:N60,"&gt;0",$G$2:G60,G60))</f>
        <v/>
      </c>
    </row>
    <row r="61">
      <c r="A61" s="9" t="n"/>
      <c r="B61" s="10" t="n"/>
      <c r="C61" s="10" t="n"/>
      <c r="D61" s="10" t="n"/>
      <c r="E61" s="10" t="n"/>
      <c r="F61" s="12" t="n"/>
      <c r="G61" s="13" t="n"/>
      <c r="H61" s="13" t="n"/>
      <c r="I61" s="13" t="n"/>
      <c r="J61" s="13" t="n"/>
      <c r="K61" s="13" t="n"/>
      <c r="L61" s="10" t="n"/>
      <c r="M61" s="10" t="n"/>
      <c r="N61" s="14">
        <f>IF(A61="","",WEEKNUM(A61,2))</f>
        <v/>
      </c>
      <c r="O61" s="15">
        <f>IF(OR(A61="",F61=""),"",LOOKUP(F61,Lists!$F$2:$F$5,Lists!$G$2:$G$5))</f>
        <v/>
      </c>
      <c r="P61" s="16">
        <f>IF(A61="","",SUM(H61:K61))</f>
        <v/>
      </c>
      <c r="Q61" s="17">
        <f>IF(A61="","",IFERROR(P61/G61,""))</f>
        <v/>
      </c>
      <c r="R61" s="14">
        <f>IF(OR(A61="",G61=""),"",COUNTIFS($N$2:$N$1000,"&gt;0",$G$2:$G$1000,"&gt;"&amp;G61)+COUNTIFS($N$2:N61,"&gt;0",$G$2:G61,G61))</f>
        <v/>
      </c>
    </row>
    <row r="62">
      <c r="A62" s="9" t="n"/>
      <c r="B62" s="10" t="n"/>
      <c r="C62" s="10" t="n"/>
      <c r="D62" s="10" t="n"/>
      <c r="E62" s="10" t="n"/>
      <c r="F62" s="12" t="n"/>
      <c r="G62" s="13" t="n"/>
      <c r="H62" s="13" t="n"/>
      <c r="I62" s="13" t="n"/>
      <c r="J62" s="13" t="n"/>
      <c r="K62" s="13" t="n"/>
      <c r="L62" s="10" t="n"/>
      <c r="M62" s="10" t="n"/>
      <c r="N62" s="14">
        <f>IF(A62="","",WEEKNUM(A62,2))</f>
        <v/>
      </c>
      <c r="O62" s="15">
        <f>IF(OR(A62="",F62=""),"",LOOKUP(F62,Lists!$F$2:$F$5,Lists!$G$2:$G$5))</f>
        <v/>
      </c>
      <c r="P62" s="16">
        <f>IF(A62="","",SUM(H62:K62))</f>
        <v/>
      </c>
      <c r="Q62" s="17">
        <f>IF(A62="","",IFERROR(P62/G62,""))</f>
        <v/>
      </c>
      <c r="R62" s="14">
        <f>IF(OR(A62="",G62=""),"",COUNTIFS($N$2:$N$1000,"&gt;0",$G$2:$G$1000,"&gt;"&amp;G62)+COUNTIFS($N$2:N62,"&gt;0",$G$2:G62,G62))</f>
        <v/>
      </c>
    </row>
    <row r="63">
      <c r="A63" s="9" t="n"/>
      <c r="B63" s="10" t="n"/>
      <c r="C63" s="10" t="n"/>
      <c r="D63" s="10" t="n"/>
      <c r="E63" s="10" t="n"/>
      <c r="F63" s="12" t="n"/>
      <c r="G63" s="13" t="n"/>
      <c r="H63" s="13" t="n"/>
      <c r="I63" s="13" t="n"/>
      <c r="J63" s="13" t="n"/>
      <c r="K63" s="13" t="n"/>
      <c r="L63" s="10" t="n"/>
      <c r="M63" s="10" t="n"/>
      <c r="N63" s="14">
        <f>IF(A63="","",WEEKNUM(A63,2))</f>
        <v/>
      </c>
      <c r="O63" s="15">
        <f>IF(OR(A63="",F63=""),"",LOOKUP(F63,Lists!$F$2:$F$5,Lists!$G$2:$G$5))</f>
        <v/>
      </c>
      <c r="P63" s="16">
        <f>IF(A63="","",SUM(H63:K63))</f>
        <v/>
      </c>
      <c r="Q63" s="17">
        <f>IF(A63="","",IFERROR(P63/G63,""))</f>
        <v/>
      </c>
      <c r="R63" s="14">
        <f>IF(OR(A63="",G63=""),"",COUNTIFS($N$2:$N$1000,"&gt;0",$G$2:$G$1000,"&gt;"&amp;G63)+COUNTIFS($N$2:N63,"&gt;0",$G$2:G63,G63))</f>
        <v/>
      </c>
    </row>
    <row r="64">
      <c r="A64" s="9" t="n"/>
      <c r="B64" s="10" t="n"/>
      <c r="C64" s="10" t="n"/>
      <c r="D64" s="10" t="n"/>
      <c r="E64" s="10" t="n"/>
      <c r="F64" s="12" t="n"/>
      <c r="G64" s="13" t="n"/>
      <c r="H64" s="13" t="n"/>
      <c r="I64" s="13" t="n"/>
      <c r="J64" s="13" t="n"/>
      <c r="K64" s="13" t="n"/>
      <c r="L64" s="10" t="n"/>
      <c r="M64" s="10" t="n"/>
      <c r="N64" s="14">
        <f>IF(A64="","",WEEKNUM(A64,2))</f>
        <v/>
      </c>
      <c r="O64" s="15">
        <f>IF(OR(A64="",F64=""),"",LOOKUP(F64,Lists!$F$2:$F$5,Lists!$G$2:$G$5))</f>
        <v/>
      </c>
      <c r="P64" s="16">
        <f>IF(A64="","",SUM(H64:K64))</f>
        <v/>
      </c>
      <c r="Q64" s="17">
        <f>IF(A64="","",IFERROR(P64/G64,""))</f>
        <v/>
      </c>
      <c r="R64" s="14">
        <f>IF(OR(A64="",G64=""),"",COUNTIFS($N$2:$N$1000,"&gt;0",$G$2:$G$1000,"&gt;"&amp;G64)+COUNTIFS($N$2:N64,"&gt;0",$G$2:G64,G64))</f>
        <v/>
      </c>
    </row>
    <row r="65">
      <c r="A65" s="9" t="n"/>
      <c r="B65" s="10" t="n"/>
      <c r="C65" s="10" t="n"/>
      <c r="D65" s="10" t="n"/>
      <c r="E65" s="10" t="n"/>
      <c r="F65" s="12" t="n"/>
      <c r="G65" s="13" t="n"/>
      <c r="H65" s="13" t="n"/>
      <c r="I65" s="13" t="n"/>
      <c r="J65" s="13" t="n"/>
      <c r="K65" s="13" t="n"/>
      <c r="L65" s="10" t="n"/>
      <c r="M65" s="10" t="n"/>
      <c r="N65" s="14">
        <f>IF(A65="","",WEEKNUM(A65,2))</f>
        <v/>
      </c>
      <c r="O65" s="15">
        <f>IF(OR(A65="",F65=""),"",LOOKUP(F65,Lists!$F$2:$F$5,Lists!$G$2:$G$5))</f>
        <v/>
      </c>
      <c r="P65" s="16">
        <f>IF(A65="","",SUM(H65:K65))</f>
        <v/>
      </c>
      <c r="Q65" s="17">
        <f>IF(A65="","",IFERROR(P65/G65,""))</f>
        <v/>
      </c>
      <c r="R65" s="14">
        <f>IF(OR(A65="",G65=""),"",COUNTIFS($N$2:$N$1000,"&gt;0",$G$2:$G$1000,"&gt;"&amp;G65)+COUNTIFS($N$2:N65,"&gt;0",$G$2:G65,G65))</f>
        <v/>
      </c>
    </row>
    <row r="66">
      <c r="A66" s="9" t="n"/>
      <c r="B66" s="10" t="n"/>
      <c r="C66" s="10" t="n"/>
      <c r="D66" s="10" t="n"/>
      <c r="E66" s="10" t="n"/>
      <c r="F66" s="12" t="n"/>
      <c r="G66" s="13" t="n"/>
      <c r="H66" s="13" t="n"/>
      <c r="I66" s="13" t="n"/>
      <c r="J66" s="13" t="n"/>
      <c r="K66" s="13" t="n"/>
      <c r="L66" s="10" t="n"/>
      <c r="M66" s="10" t="n"/>
      <c r="N66" s="14">
        <f>IF(A66="","",WEEKNUM(A66,2))</f>
        <v/>
      </c>
      <c r="O66" s="15">
        <f>IF(OR(A66="",F66=""),"",LOOKUP(F66,Lists!$F$2:$F$5,Lists!$G$2:$G$5))</f>
        <v/>
      </c>
      <c r="P66" s="16">
        <f>IF(A66="","",SUM(H66:K66))</f>
        <v/>
      </c>
      <c r="Q66" s="17">
        <f>IF(A66="","",IFERROR(P66/G66,""))</f>
        <v/>
      </c>
      <c r="R66" s="14">
        <f>IF(OR(A66="",G66=""),"",COUNTIFS($N$2:$N$1000,"&gt;0",$G$2:$G$1000,"&gt;"&amp;G66)+COUNTIFS($N$2:N66,"&gt;0",$G$2:G66,G66))</f>
        <v/>
      </c>
    </row>
    <row r="67">
      <c r="A67" s="9" t="n"/>
      <c r="B67" s="10" t="n"/>
      <c r="C67" s="10" t="n"/>
      <c r="D67" s="10" t="n"/>
      <c r="E67" s="10" t="n"/>
      <c r="F67" s="12" t="n"/>
      <c r="G67" s="13" t="n"/>
      <c r="H67" s="13" t="n"/>
      <c r="I67" s="13" t="n"/>
      <c r="J67" s="13" t="n"/>
      <c r="K67" s="13" t="n"/>
      <c r="L67" s="10" t="n"/>
      <c r="M67" s="10" t="n"/>
      <c r="N67" s="14">
        <f>IF(A67="","",WEEKNUM(A67,2))</f>
        <v/>
      </c>
      <c r="O67" s="15">
        <f>IF(OR(A67="",F67=""),"",LOOKUP(F67,Lists!$F$2:$F$5,Lists!$G$2:$G$5))</f>
        <v/>
      </c>
      <c r="P67" s="16">
        <f>IF(A67="","",SUM(H67:K67))</f>
        <v/>
      </c>
      <c r="Q67" s="17">
        <f>IF(A67="","",IFERROR(P67/G67,""))</f>
        <v/>
      </c>
      <c r="R67" s="14">
        <f>IF(OR(A67="",G67=""),"",COUNTIFS($N$2:$N$1000,"&gt;0",$G$2:$G$1000,"&gt;"&amp;G67)+COUNTIFS($N$2:N67,"&gt;0",$G$2:G67,G67))</f>
        <v/>
      </c>
    </row>
    <row r="68">
      <c r="A68" s="9" t="n"/>
      <c r="B68" s="10" t="n"/>
      <c r="C68" s="10" t="n"/>
      <c r="D68" s="10" t="n"/>
      <c r="E68" s="10" t="n"/>
      <c r="F68" s="12" t="n"/>
      <c r="G68" s="13" t="n"/>
      <c r="H68" s="13" t="n"/>
      <c r="I68" s="13" t="n"/>
      <c r="J68" s="13" t="n"/>
      <c r="K68" s="13" t="n"/>
      <c r="L68" s="10" t="n"/>
      <c r="M68" s="10" t="n"/>
      <c r="N68" s="14">
        <f>IF(A68="","",WEEKNUM(A68,2))</f>
        <v/>
      </c>
      <c r="O68" s="15">
        <f>IF(OR(A68="",F68=""),"",LOOKUP(F68,Lists!$F$2:$F$5,Lists!$G$2:$G$5))</f>
        <v/>
      </c>
      <c r="P68" s="16">
        <f>IF(A68="","",SUM(H68:K68))</f>
        <v/>
      </c>
      <c r="Q68" s="17">
        <f>IF(A68="","",IFERROR(P68/G68,""))</f>
        <v/>
      </c>
      <c r="R68" s="14">
        <f>IF(OR(A68="",G68=""),"",COUNTIFS($N$2:$N$1000,"&gt;0",$G$2:$G$1000,"&gt;"&amp;G68)+COUNTIFS($N$2:N68,"&gt;0",$G$2:G68,G68))</f>
        <v/>
      </c>
    </row>
    <row r="69">
      <c r="A69" s="9" t="n"/>
      <c r="B69" s="10" t="n"/>
      <c r="C69" s="10" t="n"/>
      <c r="D69" s="10" t="n"/>
      <c r="E69" s="10" t="n"/>
      <c r="F69" s="12" t="n"/>
      <c r="G69" s="13" t="n"/>
      <c r="H69" s="13" t="n"/>
      <c r="I69" s="13" t="n"/>
      <c r="J69" s="13" t="n"/>
      <c r="K69" s="13" t="n"/>
      <c r="L69" s="10" t="n"/>
      <c r="M69" s="10" t="n"/>
      <c r="N69" s="14">
        <f>IF(A69="","",WEEKNUM(A69,2))</f>
        <v/>
      </c>
      <c r="O69" s="15">
        <f>IF(OR(A69="",F69=""),"",LOOKUP(F69,Lists!$F$2:$F$5,Lists!$G$2:$G$5))</f>
        <v/>
      </c>
      <c r="P69" s="16">
        <f>IF(A69="","",SUM(H69:K69))</f>
        <v/>
      </c>
      <c r="Q69" s="17">
        <f>IF(A69="","",IFERROR(P69/G69,""))</f>
        <v/>
      </c>
      <c r="R69" s="14">
        <f>IF(OR(A69="",G69=""),"",COUNTIFS($N$2:$N$1000,"&gt;0",$G$2:$G$1000,"&gt;"&amp;G69)+COUNTIFS($N$2:N69,"&gt;0",$G$2:G69,G69))</f>
        <v/>
      </c>
    </row>
    <row r="70">
      <c r="A70" s="9" t="n"/>
      <c r="B70" s="10" t="n"/>
      <c r="C70" s="10" t="n"/>
      <c r="D70" s="10" t="n"/>
      <c r="E70" s="10" t="n"/>
      <c r="F70" s="12" t="n"/>
      <c r="G70" s="13" t="n"/>
      <c r="H70" s="13" t="n"/>
      <c r="I70" s="13" t="n"/>
      <c r="J70" s="13" t="n"/>
      <c r="K70" s="13" t="n"/>
      <c r="L70" s="10" t="n"/>
      <c r="M70" s="10" t="n"/>
      <c r="N70" s="14">
        <f>IF(A70="","",WEEKNUM(A70,2))</f>
        <v/>
      </c>
      <c r="O70" s="15">
        <f>IF(OR(A70="",F70=""),"",LOOKUP(F70,Lists!$F$2:$F$5,Lists!$G$2:$G$5))</f>
        <v/>
      </c>
      <c r="P70" s="16">
        <f>IF(A70="","",SUM(H70:K70))</f>
        <v/>
      </c>
      <c r="Q70" s="17">
        <f>IF(A70="","",IFERROR(P70/G70,""))</f>
        <v/>
      </c>
      <c r="R70" s="14">
        <f>IF(OR(A70="",G70=""),"",COUNTIFS($N$2:$N$1000,"&gt;0",$G$2:$G$1000,"&gt;"&amp;G70)+COUNTIFS($N$2:N70,"&gt;0",$G$2:G70,G70))</f>
        <v/>
      </c>
    </row>
    <row r="71">
      <c r="A71" s="9" t="n"/>
      <c r="B71" s="10" t="n"/>
      <c r="C71" s="10" t="n"/>
      <c r="D71" s="10" t="n"/>
      <c r="E71" s="10" t="n"/>
      <c r="F71" s="12" t="n"/>
      <c r="G71" s="13" t="n"/>
      <c r="H71" s="13" t="n"/>
      <c r="I71" s="13" t="n"/>
      <c r="J71" s="13" t="n"/>
      <c r="K71" s="13" t="n"/>
      <c r="L71" s="10" t="n"/>
      <c r="M71" s="10" t="n"/>
      <c r="N71" s="14">
        <f>IF(A71="","",WEEKNUM(A71,2))</f>
        <v/>
      </c>
      <c r="O71" s="15">
        <f>IF(OR(A71="",F71=""),"",LOOKUP(F71,Lists!$F$2:$F$5,Lists!$G$2:$G$5))</f>
        <v/>
      </c>
      <c r="P71" s="16">
        <f>IF(A71="","",SUM(H71:K71))</f>
        <v/>
      </c>
      <c r="Q71" s="17">
        <f>IF(A71="","",IFERROR(P71/G71,""))</f>
        <v/>
      </c>
      <c r="R71" s="14">
        <f>IF(OR(A71="",G71=""),"",COUNTIFS($N$2:$N$1000,"&gt;0",$G$2:$G$1000,"&gt;"&amp;G71)+COUNTIFS($N$2:N71,"&gt;0",$G$2:G71,G71))</f>
        <v/>
      </c>
    </row>
    <row r="72">
      <c r="A72" s="9" t="n"/>
      <c r="B72" s="10" t="n"/>
      <c r="C72" s="10" t="n"/>
      <c r="D72" s="10" t="n"/>
      <c r="E72" s="10" t="n"/>
      <c r="F72" s="12" t="n"/>
      <c r="G72" s="13" t="n"/>
      <c r="H72" s="13" t="n"/>
      <c r="I72" s="13" t="n"/>
      <c r="J72" s="13" t="n"/>
      <c r="K72" s="13" t="n"/>
      <c r="L72" s="10" t="n"/>
      <c r="M72" s="10" t="n"/>
      <c r="N72" s="14">
        <f>IF(A72="","",WEEKNUM(A72,2))</f>
        <v/>
      </c>
      <c r="O72" s="15">
        <f>IF(OR(A72="",F72=""),"",LOOKUP(F72,Lists!$F$2:$F$5,Lists!$G$2:$G$5))</f>
        <v/>
      </c>
      <c r="P72" s="16">
        <f>IF(A72="","",SUM(H72:K72))</f>
        <v/>
      </c>
      <c r="Q72" s="17">
        <f>IF(A72="","",IFERROR(P72/G72,""))</f>
        <v/>
      </c>
      <c r="R72" s="14">
        <f>IF(OR(A72="",G72=""),"",COUNTIFS($N$2:$N$1000,"&gt;0",$G$2:$G$1000,"&gt;"&amp;G72)+COUNTIFS($N$2:N72,"&gt;0",$G$2:G72,G72))</f>
        <v/>
      </c>
    </row>
    <row r="73">
      <c r="A73" s="9" t="n"/>
      <c r="B73" s="10" t="n"/>
      <c r="C73" s="10" t="n"/>
      <c r="D73" s="10" t="n"/>
      <c r="E73" s="10" t="n"/>
      <c r="F73" s="12" t="n"/>
      <c r="G73" s="13" t="n"/>
      <c r="H73" s="13" t="n"/>
      <c r="I73" s="13" t="n"/>
      <c r="J73" s="13" t="n"/>
      <c r="K73" s="13" t="n"/>
      <c r="L73" s="10" t="n"/>
      <c r="M73" s="10" t="n"/>
      <c r="N73" s="14">
        <f>IF(A73="","",WEEKNUM(A73,2))</f>
        <v/>
      </c>
      <c r="O73" s="15">
        <f>IF(OR(A73="",F73=""),"",LOOKUP(F73,Lists!$F$2:$F$5,Lists!$G$2:$G$5))</f>
        <v/>
      </c>
      <c r="P73" s="16">
        <f>IF(A73="","",SUM(H73:K73))</f>
        <v/>
      </c>
      <c r="Q73" s="17">
        <f>IF(A73="","",IFERROR(P73/G73,""))</f>
        <v/>
      </c>
      <c r="R73" s="14">
        <f>IF(OR(A73="",G73=""),"",COUNTIFS($N$2:$N$1000,"&gt;0",$G$2:$G$1000,"&gt;"&amp;G73)+COUNTIFS($N$2:N73,"&gt;0",$G$2:G73,G73))</f>
        <v/>
      </c>
    </row>
    <row r="74">
      <c r="A74" s="9" t="n"/>
      <c r="B74" s="10" t="n"/>
      <c r="C74" s="10" t="n"/>
      <c r="D74" s="10" t="n"/>
      <c r="E74" s="10" t="n"/>
      <c r="F74" s="12" t="n"/>
      <c r="G74" s="13" t="n"/>
      <c r="H74" s="13" t="n"/>
      <c r="I74" s="13" t="n"/>
      <c r="J74" s="13" t="n"/>
      <c r="K74" s="13" t="n"/>
      <c r="L74" s="10" t="n"/>
      <c r="M74" s="10" t="n"/>
      <c r="N74" s="14">
        <f>IF(A74="","",WEEKNUM(A74,2))</f>
        <v/>
      </c>
      <c r="O74" s="15">
        <f>IF(OR(A74="",F74=""),"",LOOKUP(F74,Lists!$F$2:$F$5,Lists!$G$2:$G$5))</f>
        <v/>
      </c>
      <c r="P74" s="16">
        <f>IF(A74="","",SUM(H74:K74))</f>
        <v/>
      </c>
      <c r="Q74" s="17">
        <f>IF(A74="","",IFERROR(P74/G74,""))</f>
        <v/>
      </c>
      <c r="R74" s="14">
        <f>IF(OR(A74="",G74=""),"",COUNTIFS($N$2:$N$1000,"&gt;0",$G$2:$G$1000,"&gt;"&amp;G74)+COUNTIFS($N$2:N74,"&gt;0",$G$2:G74,G74))</f>
        <v/>
      </c>
    </row>
    <row r="75">
      <c r="A75" s="9" t="n"/>
      <c r="B75" s="10" t="n"/>
      <c r="C75" s="10" t="n"/>
      <c r="D75" s="10" t="n"/>
      <c r="E75" s="10" t="n"/>
      <c r="F75" s="12" t="n"/>
      <c r="G75" s="13" t="n"/>
      <c r="H75" s="13" t="n"/>
      <c r="I75" s="13" t="n"/>
      <c r="J75" s="13" t="n"/>
      <c r="K75" s="13" t="n"/>
      <c r="L75" s="10" t="n"/>
      <c r="M75" s="10" t="n"/>
      <c r="N75" s="14">
        <f>IF(A75="","",WEEKNUM(A75,2))</f>
        <v/>
      </c>
      <c r="O75" s="15">
        <f>IF(OR(A75="",F75=""),"",LOOKUP(F75,Lists!$F$2:$F$5,Lists!$G$2:$G$5))</f>
        <v/>
      </c>
      <c r="P75" s="16">
        <f>IF(A75="","",SUM(H75:K75))</f>
        <v/>
      </c>
      <c r="Q75" s="17">
        <f>IF(A75="","",IFERROR(P75/G75,""))</f>
        <v/>
      </c>
      <c r="R75" s="14">
        <f>IF(OR(A75="",G75=""),"",COUNTIFS($N$2:$N$1000,"&gt;0",$G$2:$G$1000,"&gt;"&amp;G75)+COUNTIFS($N$2:N75,"&gt;0",$G$2:G75,G75))</f>
        <v/>
      </c>
    </row>
    <row r="76">
      <c r="A76" s="9" t="n"/>
      <c r="B76" s="10" t="n"/>
      <c r="C76" s="10" t="n"/>
      <c r="D76" s="10" t="n"/>
      <c r="E76" s="10" t="n"/>
      <c r="F76" s="12" t="n"/>
      <c r="G76" s="13" t="n"/>
      <c r="H76" s="13" t="n"/>
      <c r="I76" s="13" t="n"/>
      <c r="J76" s="13" t="n"/>
      <c r="K76" s="13" t="n"/>
      <c r="L76" s="10" t="n"/>
      <c r="M76" s="10" t="n"/>
      <c r="N76" s="14">
        <f>IF(A76="","",WEEKNUM(A76,2))</f>
        <v/>
      </c>
      <c r="O76" s="15">
        <f>IF(OR(A76="",F76=""),"",LOOKUP(F76,Lists!$F$2:$F$5,Lists!$G$2:$G$5))</f>
        <v/>
      </c>
      <c r="P76" s="16">
        <f>IF(A76="","",SUM(H76:K76))</f>
        <v/>
      </c>
      <c r="Q76" s="17">
        <f>IF(A76="","",IFERROR(P76/G76,""))</f>
        <v/>
      </c>
      <c r="R76" s="14">
        <f>IF(OR(A76="",G76=""),"",COUNTIFS($N$2:$N$1000,"&gt;0",$G$2:$G$1000,"&gt;"&amp;G76)+COUNTIFS($N$2:N76,"&gt;0",$G$2:G76,G76))</f>
        <v/>
      </c>
    </row>
    <row r="77">
      <c r="A77" s="9" t="n"/>
      <c r="B77" s="10" t="n"/>
      <c r="C77" s="10" t="n"/>
      <c r="D77" s="10" t="n"/>
      <c r="E77" s="10" t="n"/>
      <c r="F77" s="12" t="n"/>
      <c r="G77" s="13" t="n"/>
      <c r="H77" s="13" t="n"/>
      <c r="I77" s="13" t="n"/>
      <c r="J77" s="13" t="n"/>
      <c r="K77" s="13" t="n"/>
      <c r="L77" s="10" t="n"/>
      <c r="M77" s="10" t="n"/>
      <c r="N77" s="14">
        <f>IF(A77="","",WEEKNUM(A77,2))</f>
        <v/>
      </c>
      <c r="O77" s="15">
        <f>IF(OR(A77="",F77=""),"",LOOKUP(F77,Lists!$F$2:$F$5,Lists!$G$2:$G$5))</f>
        <v/>
      </c>
      <c r="P77" s="16">
        <f>IF(A77="","",SUM(H77:K77))</f>
        <v/>
      </c>
      <c r="Q77" s="17">
        <f>IF(A77="","",IFERROR(P77/G77,""))</f>
        <v/>
      </c>
      <c r="R77" s="14">
        <f>IF(OR(A77="",G77=""),"",COUNTIFS($N$2:$N$1000,"&gt;0",$G$2:$G$1000,"&gt;"&amp;G77)+COUNTIFS($N$2:N77,"&gt;0",$G$2:G77,G77))</f>
        <v/>
      </c>
    </row>
    <row r="78">
      <c r="A78" s="9" t="n"/>
      <c r="B78" s="10" t="n"/>
      <c r="C78" s="10" t="n"/>
      <c r="D78" s="10" t="n"/>
      <c r="E78" s="10" t="n"/>
      <c r="F78" s="12" t="n"/>
      <c r="G78" s="13" t="n"/>
      <c r="H78" s="13" t="n"/>
      <c r="I78" s="13" t="n"/>
      <c r="J78" s="13" t="n"/>
      <c r="K78" s="13" t="n"/>
      <c r="L78" s="10" t="n"/>
      <c r="M78" s="10" t="n"/>
      <c r="N78" s="14">
        <f>IF(A78="","",WEEKNUM(A78,2))</f>
        <v/>
      </c>
      <c r="O78" s="15">
        <f>IF(OR(A78="",F78=""),"",LOOKUP(F78,Lists!$F$2:$F$5,Lists!$G$2:$G$5))</f>
        <v/>
      </c>
      <c r="P78" s="16">
        <f>IF(A78="","",SUM(H78:K78))</f>
        <v/>
      </c>
      <c r="Q78" s="17">
        <f>IF(A78="","",IFERROR(P78/G78,""))</f>
        <v/>
      </c>
      <c r="R78" s="14">
        <f>IF(OR(A78="",G78=""),"",COUNTIFS($N$2:$N$1000,"&gt;0",$G$2:$G$1000,"&gt;"&amp;G78)+COUNTIFS($N$2:N78,"&gt;0",$G$2:G78,G78))</f>
        <v/>
      </c>
    </row>
    <row r="79">
      <c r="A79" s="9" t="n"/>
      <c r="B79" s="10" t="n"/>
      <c r="C79" s="10" t="n"/>
      <c r="D79" s="10" t="n"/>
      <c r="E79" s="10" t="n"/>
      <c r="F79" s="12" t="n"/>
      <c r="G79" s="13" t="n"/>
      <c r="H79" s="13" t="n"/>
      <c r="I79" s="13" t="n"/>
      <c r="J79" s="13" t="n"/>
      <c r="K79" s="13" t="n"/>
      <c r="L79" s="10" t="n"/>
      <c r="M79" s="10" t="n"/>
      <c r="N79" s="14">
        <f>IF(A79="","",WEEKNUM(A79,2))</f>
        <v/>
      </c>
      <c r="O79" s="15">
        <f>IF(OR(A79="",F79=""),"",LOOKUP(F79,Lists!$F$2:$F$5,Lists!$G$2:$G$5))</f>
        <v/>
      </c>
      <c r="P79" s="16">
        <f>IF(A79="","",SUM(H79:K79))</f>
        <v/>
      </c>
      <c r="Q79" s="17">
        <f>IF(A79="","",IFERROR(P79/G79,""))</f>
        <v/>
      </c>
      <c r="R79" s="14">
        <f>IF(OR(A79="",G79=""),"",COUNTIFS($N$2:$N$1000,"&gt;0",$G$2:$G$1000,"&gt;"&amp;G79)+COUNTIFS($N$2:N79,"&gt;0",$G$2:G79,G79))</f>
        <v/>
      </c>
    </row>
    <row r="80">
      <c r="A80" s="9" t="n"/>
      <c r="B80" s="10" t="n"/>
      <c r="C80" s="10" t="n"/>
      <c r="D80" s="10" t="n"/>
      <c r="E80" s="10" t="n"/>
      <c r="F80" s="12" t="n"/>
      <c r="G80" s="13" t="n"/>
      <c r="H80" s="13" t="n"/>
      <c r="I80" s="13" t="n"/>
      <c r="J80" s="13" t="n"/>
      <c r="K80" s="13" t="n"/>
      <c r="L80" s="10" t="n"/>
      <c r="M80" s="10" t="n"/>
      <c r="N80" s="14">
        <f>IF(A80="","",WEEKNUM(A80,2))</f>
        <v/>
      </c>
      <c r="O80" s="15">
        <f>IF(OR(A80="",F80=""),"",LOOKUP(F80,Lists!$F$2:$F$5,Lists!$G$2:$G$5))</f>
        <v/>
      </c>
      <c r="P80" s="16">
        <f>IF(A80="","",SUM(H80:K80))</f>
        <v/>
      </c>
      <c r="Q80" s="17">
        <f>IF(A80="","",IFERROR(P80/G80,""))</f>
        <v/>
      </c>
      <c r="R80" s="14">
        <f>IF(OR(A80="",G80=""),"",COUNTIFS($N$2:$N$1000,"&gt;0",$G$2:$G$1000,"&gt;"&amp;G80)+COUNTIFS($N$2:N80,"&gt;0",$G$2:G80,G80))</f>
        <v/>
      </c>
    </row>
    <row r="81">
      <c r="A81" s="9" t="n"/>
      <c r="B81" s="10" t="n"/>
      <c r="C81" s="10" t="n"/>
      <c r="D81" s="10" t="n"/>
      <c r="E81" s="10" t="n"/>
      <c r="F81" s="12" t="n"/>
      <c r="G81" s="13" t="n"/>
      <c r="H81" s="13" t="n"/>
      <c r="I81" s="13" t="n"/>
      <c r="J81" s="13" t="n"/>
      <c r="K81" s="13" t="n"/>
      <c r="L81" s="10" t="n"/>
      <c r="M81" s="10" t="n"/>
      <c r="N81" s="14">
        <f>IF(A81="","",WEEKNUM(A81,2))</f>
        <v/>
      </c>
      <c r="O81" s="15">
        <f>IF(OR(A81="",F81=""),"",LOOKUP(F81,Lists!$F$2:$F$5,Lists!$G$2:$G$5))</f>
        <v/>
      </c>
      <c r="P81" s="16">
        <f>IF(A81="","",SUM(H81:K81))</f>
        <v/>
      </c>
      <c r="Q81" s="17">
        <f>IF(A81="","",IFERROR(P81/G81,""))</f>
        <v/>
      </c>
      <c r="R81" s="14">
        <f>IF(OR(A81="",G81=""),"",COUNTIFS($N$2:$N$1000,"&gt;0",$G$2:$G$1000,"&gt;"&amp;G81)+COUNTIFS($N$2:N81,"&gt;0",$G$2:G81,G81))</f>
        <v/>
      </c>
    </row>
    <row r="82">
      <c r="A82" s="9" t="n"/>
      <c r="B82" s="10" t="n"/>
      <c r="C82" s="10" t="n"/>
      <c r="D82" s="10" t="n"/>
      <c r="E82" s="10" t="n"/>
      <c r="F82" s="12" t="n"/>
      <c r="G82" s="13" t="n"/>
      <c r="H82" s="13" t="n"/>
      <c r="I82" s="13" t="n"/>
      <c r="J82" s="13" t="n"/>
      <c r="K82" s="13" t="n"/>
      <c r="L82" s="10" t="n"/>
      <c r="M82" s="10" t="n"/>
      <c r="N82" s="14">
        <f>IF(A82="","",WEEKNUM(A82,2))</f>
        <v/>
      </c>
      <c r="O82" s="15">
        <f>IF(OR(A82="",F82=""),"",LOOKUP(F82,Lists!$F$2:$F$5,Lists!$G$2:$G$5))</f>
        <v/>
      </c>
      <c r="P82" s="16">
        <f>IF(A82="","",SUM(H82:K82))</f>
        <v/>
      </c>
      <c r="Q82" s="17">
        <f>IF(A82="","",IFERROR(P82/G82,""))</f>
        <v/>
      </c>
      <c r="R82" s="14">
        <f>IF(OR(A82="",G82=""),"",COUNTIFS($N$2:$N$1000,"&gt;0",$G$2:$G$1000,"&gt;"&amp;G82)+COUNTIFS($N$2:N82,"&gt;0",$G$2:G82,G82))</f>
        <v/>
      </c>
    </row>
    <row r="83">
      <c r="A83" s="9" t="n"/>
      <c r="B83" s="10" t="n"/>
      <c r="C83" s="10" t="n"/>
      <c r="D83" s="10" t="n"/>
      <c r="E83" s="10" t="n"/>
      <c r="F83" s="12" t="n"/>
      <c r="G83" s="13" t="n"/>
      <c r="H83" s="13" t="n"/>
      <c r="I83" s="13" t="n"/>
      <c r="J83" s="13" t="n"/>
      <c r="K83" s="13" t="n"/>
      <c r="L83" s="10" t="n"/>
      <c r="M83" s="10" t="n"/>
      <c r="N83" s="14">
        <f>IF(A83="","",WEEKNUM(A83,2))</f>
        <v/>
      </c>
      <c r="O83" s="15">
        <f>IF(OR(A83="",F83=""),"",LOOKUP(F83,Lists!$F$2:$F$5,Lists!$G$2:$G$5))</f>
        <v/>
      </c>
      <c r="P83" s="16">
        <f>IF(A83="","",SUM(H83:K83))</f>
        <v/>
      </c>
      <c r="Q83" s="17">
        <f>IF(A83="","",IFERROR(P83/G83,""))</f>
        <v/>
      </c>
      <c r="R83" s="14">
        <f>IF(OR(A83="",G83=""),"",COUNTIFS($N$2:$N$1000,"&gt;0",$G$2:$G$1000,"&gt;"&amp;G83)+COUNTIFS($N$2:N83,"&gt;0",$G$2:G83,G83))</f>
        <v/>
      </c>
    </row>
    <row r="84">
      <c r="A84" s="9" t="n"/>
      <c r="B84" s="10" t="n"/>
      <c r="C84" s="10" t="n"/>
      <c r="D84" s="10" t="n"/>
      <c r="E84" s="10" t="n"/>
      <c r="F84" s="12" t="n"/>
      <c r="G84" s="13" t="n"/>
      <c r="H84" s="13" t="n"/>
      <c r="I84" s="13" t="n"/>
      <c r="J84" s="13" t="n"/>
      <c r="K84" s="13" t="n"/>
      <c r="L84" s="10" t="n"/>
      <c r="M84" s="10" t="n"/>
      <c r="N84" s="14">
        <f>IF(A84="","",WEEKNUM(A84,2))</f>
        <v/>
      </c>
      <c r="O84" s="15">
        <f>IF(OR(A84="",F84=""),"",LOOKUP(F84,Lists!$F$2:$F$5,Lists!$G$2:$G$5))</f>
        <v/>
      </c>
      <c r="P84" s="16">
        <f>IF(A84="","",SUM(H84:K84))</f>
        <v/>
      </c>
      <c r="Q84" s="17">
        <f>IF(A84="","",IFERROR(P84/G84,""))</f>
        <v/>
      </c>
      <c r="R84" s="14">
        <f>IF(OR(A84="",G84=""),"",COUNTIFS($N$2:$N$1000,"&gt;0",$G$2:$G$1000,"&gt;"&amp;G84)+COUNTIFS($N$2:N84,"&gt;0",$G$2:G84,G84))</f>
        <v/>
      </c>
    </row>
    <row r="85">
      <c r="A85" s="9" t="n"/>
      <c r="B85" s="10" t="n"/>
      <c r="C85" s="10" t="n"/>
      <c r="D85" s="10" t="n"/>
      <c r="E85" s="10" t="n"/>
      <c r="F85" s="12" t="n"/>
      <c r="G85" s="13" t="n"/>
      <c r="H85" s="13" t="n"/>
      <c r="I85" s="13" t="n"/>
      <c r="J85" s="13" t="n"/>
      <c r="K85" s="13" t="n"/>
      <c r="L85" s="10" t="n"/>
      <c r="M85" s="10" t="n"/>
      <c r="N85" s="14">
        <f>IF(A85="","",WEEKNUM(A85,2))</f>
        <v/>
      </c>
      <c r="O85" s="15">
        <f>IF(OR(A85="",F85=""),"",LOOKUP(F85,Lists!$F$2:$F$5,Lists!$G$2:$G$5))</f>
        <v/>
      </c>
      <c r="P85" s="16">
        <f>IF(A85="","",SUM(H85:K85))</f>
        <v/>
      </c>
      <c r="Q85" s="17">
        <f>IF(A85="","",IFERROR(P85/G85,""))</f>
        <v/>
      </c>
      <c r="R85" s="14">
        <f>IF(OR(A85="",G85=""),"",COUNTIFS($N$2:$N$1000,"&gt;0",$G$2:$G$1000,"&gt;"&amp;G85)+COUNTIFS($N$2:N85,"&gt;0",$G$2:G85,G85))</f>
        <v/>
      </c>
    </row>
    <row r="86">
      <c r="A86" s="9" t="n"/>
      <c r="B86" s="10" t="n"/>
      <c r="C86" s="10" t="n"/>
      <c r="D86" s="10" t="n"/>
      <c r="E86" s="10" t="n"/>
      <c r="F86" s="12" t="n"/>
      <c r="G86" s="13" t="n"/>
      <c r="H86" s="13" t="n"/>
      <c r="I86" s="13" t="n"/>
      <c r="J86" s="13" t="n"/>
      <c r="K86" s="13" t="n"/>
      <c r="L86" s="10" t="n"/>
      <c r="M86" s="10" t="n"/>
      <c r="N86" s="14">
        <f>IF(A86="","",WEEKNUM(A86,2))</f>
        <v/>
      </c>
      <c r="O86" s="15">
        <f>IF(OR(A86="",F86=""),"",LOOKUP(F86,Lists!$F$2:$F$5,Lists!$G$2:$G$5))</f>
        <v/>
      </c>
      <c r="P86" s="16">
        <f>IF(A86="","",SUM(H86:K86))</f>
        <v/>
      </c>
      <c r="Q86" s="17">
        <f>IF(A86="","",IFERROR(P86/G86,""))</f>
        <v/>
      </c>
      <c r="R86" s="14">
        <f>IF(OR(A86="",G86=""),"",COUNTIFS($N$2:$N$1000,"&gt;0",$G$2:$G$1000,"&gt;"&amp;G86)+COUNTIFS($N$2:N86,"&gt;0",$G$2:G86,G86))</f>
        <v/>
      </c>
    </row>
    <row r="87">
      <c r="A87" s="9" t="n"/>
      <c r="B87" s="10" t="n"/>
      <c r="C87" s="10" t="n"/>
      <c r="D87" s="10" t="n"/>
      <c r="E87" s="10" t="n"/>
      <c r="F87" s="12" t="n"/>
      <c r="G87" s="13" t="n"/>
      <c r="H87" s="13" t="n"/>
      <c r="I87" s="13" t="n"/>
      <c r="J87" s="13" t="n"/>
      <c r="K87" s="13" t="n"/>
      <c r="L87" s="10" t="n"/>
      <c r="M87" s="10" t="n"/>
      <c r="N87" s="14">
        <f>IF(A87="","",WEEKNUM(A87,2))</f>
        <v/>
      </c>
      <c r="O87" s="15">
        <f>IF(OR(A87="",F87=""),"",LOOKUP(F87,Lists!$F$2:$F$5,Lists!$G$2:$G$5))</f>
        <v/>
      </c>
      <c r="P87" s="16">
        <f>IF(A87="","",SUM(H87:K87))</f>
        <v/>
      </c>
      <c r="Q87" s="17">
        <f>IF(A87="","",IFERROR(P87/G87,""))</f>
        <v/>
      </c>
      <c r="R87" s="14">
        <f>IF(OR(A87="",G87=""),"",COUNTIFS($N$2:$N$1000,"&gt;0",$G$2:$G$1000,"&gt;"&amp;G87)+COUNTIFS($N$2:N87,"&gt;0",$G$2:G87,G87))</f>
        <v/>
      </c>
    </row>
    <row r="88">
      <c r="A88" s="9" t="n"/>
      <c r="B88" s="10" t="n"/>
      <c r="C88" s="10" t="n"/>
      <c r="D88" s="10" t="n"/>
      <c r="E88" s="10" t="n"/>
      <c r="F88" s="12" t="n"/>
      <c r="G88" s="13" t="n"/>
      <c r="H88" s="13" t="n"/>
      <c r="I88" s="13" t="n"/>
      <c r="J88" s="13" t="n"/>
      <c r="K88" s="13" t="n"/>
      <c r="L88" s="10" t="n"/>
      <c r="M88" s="10" t="n"/>
      <c r="N88" s="14">
        <f>IF(A88="","",WEEKNUM(A88,2))</f>
        <v/>
      </c>
      <c r="O88" s="15">
        <f>IF(OR(A88="",F88=""),"",LOOKUP(F88,Lists!$F$2:$F$5,Lists!$G$2:$G$5))</f>
        <v/>
      </c>
      <c r="P88" s="16">
        <f>IF(A88="","",SUM(H88:K88))</f>
        <v/>
      </c>
      <c r="Q88" s="17">
        <f>IF(A88="","",IFERROR(P88/G88,""))</f>
        <v/>
      </c>
      <c r="R88" s="14">
        <f>IF(OR(A88="",G88=""),"",COUNTIFS($N$2:$N$1000,"&gt;0",$G$2:$G$1000,"&gt;"&amp;G88)+COUNTIFS($N$2:N88,"&gt;0",$G$2:G88,G88))</f>
        <v/>
      </c>
    </row>
    <row r="89">
      <c r="A89" s="9" t="n"/>
      <c r="B89" s="10" t="n"/>
      <c r="C89" s="10" t="n"/>
      <c r="D89" s="10" t="n"/>
      <c r="E89" s="10" t="n"/>
      <c r="F89" s="12" t="n"/>
      <c r="G89" s="13" t="n"/>
      <c r="H89" s="13" t="n"/>
      <c r="I89" s="13" t="n"/>
      <c r="J89" s="13" t="n"/>
      <c r="K89" s="13" t="n"/>
      <c r="L89" s="10" t="n"/>
      <c r="M89" s="10" t="n"/>
      <c r="N89" s="14">
        <f>IF(A89="","",WEEKNUM(A89,2))</f>
        <v/>
      </c>
      <c r="O89" s="15">
        <f>IF(OR(A89="",F89=""),"",LOOKUP(F89,Lists!$F$2:$F$5,Lists!$G$2:$G$5))</f>
        <v/>
      </c>
      <c r="P89" s="16">
        <f>IF(A89="","",SUM(H89:K89))</f>
        <v/>
      </c>
      <c r="Q89" s="17">
        <f>IF(A89="","",IFERROR(P89/G89,""))</f>
        <v/>
      </c>
      <c r="R89" s="14">
        <f>IF(OR(A89="",G89=""),"",COUNTIFS($N$2:$N$1000,"&gt;0",$G$2:$G$1000,"&gt;"&amp;G89)+COUNTIFS($N$2:N89,"&gt;0",$G$2:G89,G89))</f>
        <v/>
      </c>
    </row>
    <row r="90">
      <c r="A90" s="9" t="n"/>
      <c r="B90" s="10" t="n"/>
      <c r="C90" s="10" t="n"/>
      <c r="D90" s="10" t="n"/>
      <c r="E90" s="10" t="n"/>
      <c r="F90" s="12" t="n"/>
      <c r="G90" s="13" t="n"/>
      <c r="H90" s="13" t="n"/>
      <c r="I90" s="13" t="n"/>
      <c r="J90" s="13" t="n"/>
      <c r="K90" s="13" t="n"/>
      <c r="L90" s="10" t="n"/>
      <c r="M90" s="10" t="n"/>
      <c r="N90" s="14">
        <f>IF(A90="","",WEEKNUM(A90,2))</f>
        <v/>
      </c>
      <c r="O90" s="15">
        <f>IF(OR(A90="",F90=""),"",LOOKUP(F90,Lists!$F$2:$F$5,Lists!$G$2:$G$5))</f>
        <v/>
      </c>
      <c r="P90" s="16">
        <f>IF(A90="","",SUM(H90:K90))</f>
        <v/>
      </c>
      <c r="Q90" s="17">
        <f>IF(A90="","",IFERROR(P90/G90,""))</f>
        <v/>
      </c>
      <c r="R90" s="14">
        <f>IF(OR(A90="",G90=""),"",COUNTIFS($N$2:$N$1000,"&gt;0",$G$2:$G$1000,"&gt;"&amp;G90)+COUNTIFS($N$2:N90,"&gt;0",$G$2:G90,G90))</f>
        <v/>
      </c>
    </row>
    <row r="91">
      <c r="A91" s="9" t="n"/>
      <c r="B91" s="10" t="n"/>
      <c r="C91" s="10" t="n"/>
      <c r="D91" s="10" t="n"/>
      <c r="E91" s="10" t="n"/>
      <c r="F91" s="12" t="n"/>
      <c r="G91" s="13" t="n"/>
      <c r="H91" s="13" t="n"/>
      <c r="I91" s="13" t="n"/>
      <c r="J91" s="13" t="n"/>
      <c r="K91" s="13" t="n"/>
      <c r="L91" s="10" t="n"/>
      <c r="M91" s="10" t="n"/>
      <c r="N91" s="14">
        <f>IF(A91="","",WEEKNUM(A91,2))</f>
        <v/>
      </c>
      <c r="O91" s="15">
        <f>IF(OR(A91="",F91=""),"",LOOKUP(F91,Lists!$F$2:$F$5,Lists!$G$2:$G$5))</f>
        <v/>
      </c>
      <c r="P91" s="16">
        <f>IF(A91="","",SUM(H91:K91))</f>
        <v/>
      </c>
      <c r="Q91" s="17">
        <f>IF(A91="","",IFERROR(P91/G91,""))</f>
        <v/>
      </c>
      <c r="R91" s="14">
        <f>IF(OR(A91="",G91=""),"",COUNTIFS($N$2:$N$1000,"&gt;0",$G$2:$G$1000,"&gt;"&amp;G91)+COUNTIFS($N$2:N91,"&gt;0",$G$2:G91,G91))</f>
        <v/>
      </c>
    </row>
    <row r="92">
      <c r="A92" s="9" t="n"/>
      <c r="B92" s="10" t="n"/>
      <c r="C92" s="10" t="n"/>
      <c r="D92" s="10" t="n"/>
      <c r="E92" s="10" t="n"/>
      <c r="F92" s="12" t="n"/>
      <c r="G92" s="13" t="n"/>
      <c r="H92" s="13" t="n"/>
      <c r="I92" s="13" t="n"/>
      <c r="J92" s="13" t="n"/>
      <c r="K92" s="13" t="n"/>
      <c r="L92" s="10" t="n"/>
      <c r="M92" s="10" t="n"/>
      <c r="N92" s="14">
        <f>IF(A92="","",WEEKNUM(A92,2))</f>
        <v/>
      </c>
      <c r="O92" s="15">
        <f>IF(OR(A92="",F92=""),"",LOOKUP(F92,Lists!$F$2:$F$5,Lists!$G$2:$G$5))</f>
        <v/>
      </c>
      <c r="P92" s="16">
        <f>IF(A92="","",SUM(H92:K92))</f>
        <v/>
      </c>
      <c r="Q92" s="17">
        <f>IF(A92="","",IFERROR(P92/G92,""))</f>
        <v/>
      </c>
      <c r="R92" s="14">
        <f>IF(OR(A92="",G92=""),"",COUNTIFS($N$2:$N$1000,"&gt;0",$G$2:$G$1000,"&gt;"&amp;G92)+COUNTIFS($N$2:N92,"&gt;0",$G$2:G92,G92))</f>
        <v/>
      </c>
    </row>
    <row r="93">
      <c r="A93" s="9" t="n"/>
      <c r="B93" s="10" t="n"/>
      <c r="C93" s="10" t="n"/>
      <c r="D93" s="10" t="n"/>
      <c r="E93" s="10" t="n"/>
      <c r="F93" s="12" t="n"/>
      <c r="G93" s="13" t="n"/>
      <c r="H93" s="13" t="n"/>
      <c r="I93" s="13" t="n"/>
      <c r="J93" s="13" t="n"/>
      <c r="K93" s="13" t="n"/>
      <c r="L93" s="10" t="n"/>
      <c r="M93" s="10" t="n"/>
      <c r="N93" s="14">
        <f>IF(A93="","",WEEKNUM(A93,2))</f>
        <v/>
      </c>
      <c r="O93" s="15">
        <f>IF(OR(A93="",F93=""),"",LOOKUP(F93,Lists!$F$2:$F$5,Lists!$G$2:$G$5))</f>
        <v/>
      </c>
      <c r="P93" s="16">
        <f>IF(A93="","",SUM(H93:K93))</f>
        <v/>
      </c>
      <c r="Q93" s="17">
        <f>IF(A93="","",IFERROR(P93/G93,""))</f>
        <v/>
      </c>
      <c r="R93" s="14">
        <f>IF(OR(A93="",G93=""),"",COUNTIFS($N$2:$N$1000,"&gt;0",$G$2:$G$1000,"&gt;"&amp;G93)+COUNTIFS($N$2:N93,"&gt;0",$G$2:G93,G93))</f>
        <v/>
      </c>
    </row>
    <row r="94">
      <c r="A94" s="9" t="n"/>
      <c r="B94" s="10" t="n"/>
      <c r="C94" s="10" t="n"/>
      <c r="D94" s="10" t="n"/>
      <c r="E94" s="10" t="n"/>
      <c r="F94" s="12" t="n"/>
      <c r="G94" s="13" t="n"/>
      <c r="H94" s="13" t="n"/>
      <c r="I94" s="13" t="n"/>
      <c r="J94" s="13" t="n"/>
      <c r="K94" s="13" t="n"/>
      <c r="L94" s="10" t="n"/>
      <c r="M94" s="10" t="n"/>
      <c r="N94" s="14">
        <f>IF(A94="","",WEEKNUM(A94,2))</f>
        <v/>
      </c>
      <c r="O94" s="15">
        <f>IF(OR(A94="",F94=""),"",LOOKUP(F94,Lists!$F$2:$F$5,Lists!$G$2:$G$5))</f>
        <v/>
      </c>
      <c r="P94" s="16">
        <f>IF(A94="","",SUM(H94:K94))</f>
        <v/>
      </c>
      <c r="Q94" s="17">
        <f>IF(A94="","",IFERROR(P94/G94,""))</f>
        <v/>
      </c>
      <c r="R94" s="14">
        <f>IF(OR(A94="",G94=""),"",COUNTIFS($N$2:$N$1000,"&gt;0",$G$2:$G$1000,"&gt;"&amp;G94)+COUNTIFS($N$2:N94,"&gt;0",$G$2:G94,G94))</f>
        <v/>
      </c>
    </row>
    <row r="95">
      <c r="A95" s="9" t="n"/>
      <c r="B95" s="10" t="n"/>
      <c r="C95" s="10" t="n"/>
      <c r="D95" s="10" t="n"/>
      <c r="E95" s="10" t="n"/>
      <c r="F95" s="12" t="n"/>
      <c r="G95" s="13" t="n"/>
      <c r="H95" s="13" t="n"/>
      <c r="I95" s="13" t="n"/>
      <c r="J95" s="13" t="n"/>
      <c r="K95" s="13" t="n"/>
      <c r="L95" s="10" t="n"/>
      <c r="M95" s="10" t="n"/>
      <c r="N95" s="14">
        <f>IF(A95="","",WEEKNUM(A95,2))</f>
        <v/>
      </c>
      <c r="O95" s="15">
        <f>IF(OR(A95="",F95=""),"",LOOKUP(F95,Lists!$F$2:$F$5,Lists!$G$2:$G$5))</f>
        <v/>
      </c>
      <c r="P95" s="16">
        <f>IF(A95="","",SUM(H95:K95))</f>
        <v/>
      </c>
      <c r="Q95" s="17">
        <f>IF(A95="","",IFERROR(P95/G95,""))</f>
        <v/>
      </c>
      <c r="R95" s="14">
        <f>IF(OR(A95="",G95=""),"",COUNTIFS($N$2:$N$1000,"&gt;0",$G$2:$G$1000,"&gt;"&amp;G95)+COUNTIFS($N$2:N95,"&gt;0",$G$2:G95,G95))</f>
        <v/>
      </c>
    </row>
    <row r="96">
      <c r="A96" s="9" t="n"/>
      <c r="B96" s="10" t="n"/>
      <c r="C96" s="10" t="n"/>
      <c r="D96" s="10" t="n"/>
      <c r="E96" s="10" t="n"/>
      <c r="F96" s="12" t="n"/>
      <c r="G96" s="13" t="n"/>
      <c r="H96" s="13" t="n"/>
      <c r="I96" s="13" t="n"/>
      <c r="J96" s="13" t="n"/>
      <c r="K96" s="13" t="n"/>
      <c r="L96" s="10" t="n"/>
      <c r="M96" s="10" t="n"/>
      <c r="N96" s="14">
        <f>IF(A96="","",WEEKNUM(A96,2))</f>
        <v/>
      </c>
      <c r="O96" s="15">
        <f>IF(OR(A96="",F96=""),"",LOOKUP(F96,Lists!$F$2:$F$5,Lists!$G$2:$G$5))</f>
        <v/>
      </c>
      <c r="P96" s="16">
        <f>IF(A96="","",SUM(H96:K96))</f>
        <v/>
      </c>
      <c r="Q96" s="17">
        <f>IF(A96="","",IFERROR(P96/G96,""))</f>
        <v/>
      </c>
      <c r="R96" s="14">
        <f>IF(OR(A96="",G96=""),"",COUNTIFS($N$2:$N$1000,"&gt;0",$G$2:$G$1000,"&gt;"&amp;G96)+COUNTIFS($N$2:N96,"&gt;0",$G$2:G96,G96))</f>
        <v/>
      </c>
    </row>
    <row r="97">
      <c r="A97" s="9" t="n"/>
      <c r="B97" s="10" t="n"/>
      <c r="C97" s="10" t="n"/>
      <c r="D97" s="10" t="n"/>
      <c r="E97" s="10" t="n"/>
      <c r="F97" s="12" t="n"/>
      <c r="G97" s="13" t="n"/>
      <c r="H97" s="13" t="n"/>
      <c r="I97" s="13" t="n"/>
      <c r="J97" s="13" t="n"/>
      <c r="K97" s="13" t="n"/>
      <c r="L97" s="10" t="n"/>
      <c r="M97" s="10" t="n"/>
      <c r="N97" s="14">
        <f>IF(A97="","",WEEKNUM(A97,2))</f>
        <v/>
      </c>
      <c r="O97" s="15">
        <f>IF(OR(A97="",F97=""),"",LOOKUP(F97,Lists!$F$2:$F$5,Lists!$G$2:$G$5))</f>
        <v/>
      </c>
      <c r="P97" s="16">
        <f>IF(A97="","",SUM(H97:K97))</f>
        <v/>
      </c>
      <c r="Q97" s="17">
        <f>IF(A97="","",IFERROR(P97/G97,""))</f>
        <v/>
      </c>
      <c r="R97" s="14">
        <f>IF(OR(A97="",G97=""),"",COUNTIFS($N$2:$N$1000,"&gt;0",$G$2:$G$1000,"&gt;"&amp;G97)+COUNTIFS($N$2:N97,"&gt;0",$G$2:G97,G97))</f>
        <v/>
      </c>
    </row>
    <row r="98">
      <c r="A98" s="9" t="n"/>
      <c r="B98" s="10" t="n"/>
      <c r="C98" s="10" t="n"/>
      <c r="D98" s="10" t="n"/>
      <c r="E98" s="10" t="n"/>
      <c r="F98" s="12" t="n"/>
      <c r="G98" s="13" t="n"/>
      <c r="H98" s="13" t="n"/>
      <c r="I98" s="13" t="n"/>
      <c r="J98" s="13" t="n"/>
      <c r="K98" s="13" t="n"/>
      <c r="L98" s="10" t="n"/>
      <c r="M98" s="10" t="n"/>
      <c r="N98" s="14">
        <f>IF(A98="","",WEEKNUM(A98,2))</f>
        <v/>
      </c>
      <c r="O98" s="15">
        <f>IF(OR(A98="",F98=""),"",LOOKUP(F98,Lists!$F$2:$F$5,Lists!$G$2:$G$5))</f>
        <v/>
      </c>
      <c r="P98" s="16">
        <f>IF(A98="","",SUM(H98:K98))</f>
        <v/>
      </c>
      <c r="Q98" s="17">
        <f>IF(A98="","",IFERROR(P98/G98,""))</f>
        <v/>
      </c>
      <c r="R98" s="14">
        <f>IF(OR(A98="",G98=""),"",COUNTIFS($N$2:$N$1000,"&gt;0",$G$2:$G$1000,"&gt;"&amp;G98)+COUNTIFS($N$2:N98,"&gt;0",$G$2:G98,G98))</f>
        <v/>
      </c>
    </row>
    <row r="99">
      <c r="A99" s="9" t="n"/>
      <c r="B99" s="10" t="n"/>
      <c r="C99" s="10" t="n"/>
      <c r="D99" s="10" t="n"/>
      <c r="E99" s="10" t="n"/>
      <c r="F99" s="12" t="n"/>
      <c r="G99" s="13" t="n"/>
      <c r="H99" s="13" t="n"/>
      <c r="I99" s="13" t="n"/>
      <c r="J99" s="13" t="n"/>
      <c r="K99" s="13" t="n"/>
      <c r="L99" s="10" t="n"/>
      <c r="M99" s="10" t="n"/>
      <c r="N99" s="14">
        <f>IF(A99="","",WEEKNUM(A99,2))</f>
        <v/>
      </c>
      <c r="O99" s="15">
        <f>IF(OR(A99="",F99=""),"",LOOKUP(F99,Lists!$F$2:$F$5,Lists!$G$2:$G$5))</f>
        <v/>
      </c>
      <c r="P99" s="16">
        <f>IF(A99="","",SUM(H99:K99))</f>
        <v/>
      </c>
      <c r="Q99" s="17">
        <f>IF(A99="","",IFERROR(P99/G99,""))</f>
        <v/>
      </c>
      <c r="R99" s="14">
        <f>IF(OR(A99="",G99=""),"",COUNTIFS($N$2:$N$1000,"&gt;0",$G$2:$G$1000,"&gt;"&amp;G99)+COUNTIFS($N$2:N99,"&gt;0",$G$2:G99,G99))</f>
        <v/>
      </c>
    </row>
    <row r="100">
      <c r="A100" s="9" t="n"/>
      <c r="B100" s="10" t="n"/>
      <c r="C100" s="10" t="n"/>
      <c r="D100" s="10" t="n"/>
      <c r="E100" s="10" t="n"/>
      <c r="F100" s="12" t="n"/>
      <c r="G100" s="13" t="n"/>
      <c r="H100" s="13" t="n"/>
      <c r="I100" s="13" t="n"/>
      <c r="J100" s="13" t="n"/>
      <c r="K100" s="13" t="n"/>
      <c r="L100" s="10" t="n"/>
      <c r="M100" s="10" t="n"/>
      <c r="N100" s="14">
        <f>IF(A100="","",WEEKNUM(A100,2))</f>
        <v/>
      </c>
      <c r="O100" s="15">
        <f>IF(OR(A100="",F100=""),"",LOOKUP(F100,Lists!$F$2:$F$5,Lists!$G$2:$G$5))</f>
        <v/>
      </c>
      <c r="P100" s="16">
        <f>IF(A100="","",SUM(H100:K100))</f>
        <v/>
      </c>
      <c r="Q100" s="17">
        <f>IF(A100="","",IFERROR(P100/G100,""))</f>
        <v/>
      </c>
      <c r="R100" s="14">
        <f>IF(OR(A100="",G100=""),"",COUNTIFS($N$2:$N$1000,"&gt;0",$G$2:$G$1000,"&gt;"&amp;G100)+COUNTIFS($N$2:N100,"&gt;0",$G$2:G100,G100))</f>
        <v/>
      </c>
    </row>
    <row r="101">
      <c r="A101" s="9" t="n"/>
      <c r="B101" s="10" t="n"/>
      <c r="C101" s="10" t="n"/>
      <c r="D101" s="10" t="n"/>
      <c r="E101" s="10" t="n"/>
      <c r="F101" s="12" t="n"/>
      <c r="G101" s="13" t="n"/>
      <c r="H101" s="13" t="n"/>
      <c r="I101" s="13" t="n"/>
      <c r="J101" s="13" t="n"/>
      <c r="K101" s="13" t="n"/>
      <c r="L101" s="10" t="n"/>
      <c r="M101" s="10" t="n"/>
      <c r="N101" s="14">
        <f>IF(A101="","",WEEKNUM(A101,2))</f>
        <v/>
      </c>
      <c r="O101" s="15">
        <f>IF(OR(A101="",F101=""),"",LOOKUP(F101,Lists!$F$2:$F$5,Lists!$G$2:$G$5))</f>
        <v/>
      </c>
      <c r="P101" s="16">
        <f>IF(A101="","",SUM(H101:K101))</f>
        <v/>
      </c>
      <c r="Q101" s="17">
        <f>IF(A101="","",IFERROR(P101/G101,""))</f>
        <v/>
      </c>
      <c r="R101" s="14">
        <f>IF(OR(A101="",G101=""),"",COUNTIFS($N$2:$N$1000,"&gt;0",$G$2:$G$1000,"&gt;"&amp;G101)+COUNTIFS($N$2:N101,"&gt;0",$G$2:G101,G101))</f>
        <v/>
      </c>
    </row>
    <row r="102">
      <c r="A102" s="9" t="n"/>
      <c r="B102" s="10" t="n"/>
      <c r="C102" s="10" t="n"/>
      <c r="D102" s="10" t="n"/>
      <c r="E102" s="10" t="n"/>
      <c r="F102" s="12" t="n"/>
      <c r="G102" s="13" t="n"/>
      <c r="H102" s="13" t="n"/>
      <c r="I102" s="13" t="n"/>
      <c r="J102" s="13" t="n"/>
      <c r="K102" s="13" t="n"/>
      <c r="L102" s="10" t="n"/>
      <c r="M102" s="10" t="n"/>
      <c r="N102" s="14">
        <f>IF(A102="","",WEEKNUM(A102,2))</f>
        <v/>
      </c>
      <c r="O102" s="15">
        <f>IF(OR(A102="",F102=""),"",LOOKUP(F102,Lists!$F$2:$F$5,Lists!$G$2:$G$5))</f>
        <v/>
      </c>
      <c r="P102" s="16">
        <f>IF(A102="","",SUM(H102:K102))</f>
        <v/>
      </c>
      <c r="Q102" s="17">
        <f>IF(A102="","",IFERROR(P102/G102,""))</f>
        <v/>
      </c>
      <c r="R102" s="14">
        <f>IF(OR(A102="",G102=""),"",COUNTIFS($N$2:$N$1000,"&gt;0",$G$2:$G$1000,"&gt;"&amp;G102)+COUNTIFS($N$2:N102,"&gt;0",$G$2:G102,G102))</f>
        <v/>
      </c>
    </row>
    <row r="103">
      <c r="A103" s="9" t="n"/>
      <c r="B103" s="10" t="n"/>
      <c r="C103" s="10" t="n"/>
      <c r="D103" s="10" t="n"/>
      <c r="E103" s="10" t="n"/>
      <c r="F103" s="12" t="n"/>
      <c r="G103" s="13" t="n"/>
      <c r="H103" s="13" t="n"/>
      <c r="I103" s="13" t="n"/>
      <c r="J103" s="13" t="n"/>
      <c r="K103" s="13" t="n"/>
      <c r="L103" s="10" t="n"/>
      <c r="M103" s="10" t="n"/>
      <c r="N103" s="14">
        <f>IF(A103="","",WEEKNUM(A103,2))</f>
        <v/>
      </c>
      <c r="O103" s="15">
        <f>IF(OR(A103="",F103=""),"",LOOKUP(F103,Lists!$F$2:$F$5,Lists!$G$2:$G$5))</f>
        <v/>
      </c>
      <c r="P103" s="16">
        <f>IF(A103="","",SUM(H103:K103))</f>
        <v/>
      </c>
      <c r="Q103" s="17">
        <f>IF(A103="","",IFERROR(P103/G103,""))</f>
        <v/>
      </c>
      <c r="R103" s="14">
        <f>IF(OR(A103="",G103=""),"",COUNTIFS($N$2:$N$1000,"&gt;0",$G$2:$G$1000,"&gt;"&amp;G103)+COUNTIFS($N$2:N103,"&gt;0",$G$2:G103,G103))</f>
        <v/>
      </c>
    </row>
    <row r="104">
      <c r="A104" s="9" t="n"/>
      <c r="B104" s="10" t="n"/>
      <c r="C104" s="10" t="n"/>
      <c r="D104" s="10" t="n"/>
      <c r="E104" s="10" t="n"/>
      <c r="F104" s="12" t="n"/>
      <c r="G104" s="13" t="n"/>
      <c r="H104" s="13" t="n"/>
      <c r="I104" s="13" t="n"/>
      <c r="J104" s="13" t="n"/>
      <c r="K104" s="13" t="n"/>
      <c r="L104" s="10" t="n"/>
      <c r="M104" s="10" t="n"/>
      <c r="N104" s="14">
        <f>IF(A104="","",WEEKNUM(A104,2))</f>
        <v/>
      </c>
      <c r="O104" s="15">
        <f>IF(OR(A104="",F104=""),"",LOOKUP(F104,Lists!$F$2:$F$5,Lists!$G$2:$G$5))</f>
        <v/>
      </c>
      <c r="P104" s="16">
        <f>IF(A104="","",SUM(H104:K104))</f>
        <v/>
      </c>
      <c r="Q104" s="17">
        <f>IF(A104="","",IFERROR(P104/G104,""))</f>
        <v/>
      </c>
      <c r="R104" s="14">
        <f>IF(OR(A104="",G104=""),"",COUNTIFS($N$2:$N$1000,"&gt;0",$G$2:$G$1000,"&gt;"&amp;G104)+COUNTIFS($N$2:N104,"&gt;0",$G$2:G104,G104))</f>
        <v/>
      </c>
    </row>
    <row r="105">
      <c r="A105" s="9" t="n"/>
      <c r="B105" s="10" t="n"/>
      <c r="C105" s="10" t="n"/>
      <c r="D105" s="10" t="n"/>
      <c r="E105" s="10" t="n"/>
      <c r="F105" s="12" t="n"/>
      <c r="G105" s="13" t="n"/>
      <c r="H105" s="13" t="n"/>
      <c r="I105" s="13" t="n"/>
      <c r="J105" s="13" t="n"/>
      <c r="K105" s="13" t="n"/>
      <c r="L105" s="10" t="n"/>
      <c r="M105" s="10" t="n"/>
      <c r="N105" s="14">
        <f>IF(A105="","",WEEKNUM(A105,2))</f>
        <v/>
      </c>
      <c r="O105" s="15">
        <f>IF(OR(A105="",F105=""),"",LOOKUP(F105,Lists!$F$2:$F$5,Lists!$G$2:$G$5))</f>
        <v/>
      </c>
      <c r="P105" s="16">
        <f>IF(A105="","",SUM(H105:K105))</f>
        <v/>
      </c>
      <c r="Q105" s="17">
        <f>IF(A105="","",IFERROR(P105/G105,""))</f>
        <v/>
      </c>
      <c r="R105" s="14">
        <f>IF(OR(A105="",G105=""),"",COUNTIFS($N$2:$N$1000,"&gt;0",$G$2:$G$1000,"&gt;"&amp;G105)+COUNTIFS($N$2:N105,"&gt;0",$G$2:G105,G105))</f>
        <v/>
      </c>
    </row>
    <row r="106">
      <c r="A106" s="9" t="n"/>
      <c r="B106" s="10" t="n"/>
      <c r="C106" s="10" t="n"/>
      <c r="D106" s="10" t="n"/>
      <c r="E106" s="10" t="n"/>
      <c r="F106" s="12" t="n"/>
      <c r="G106" s="13" t="n"/>
      <c r="H106" s="13" t="n"/>
      <c r="I106" s="13" t="n"/>
      <c r="J106" s="13" t="n"/>
      <c r="K106" s="13" t="n"/>
      <c r="L106" s="10" t="n"/>
      <c r="M106" s="10" t="n"/>
      <c r="N106" s="14">
        <f>IF(A106="","",WEEKNUM(A106,2))</f>
        <v/>
      </c>
      <c r="O106" s="15">
        <f>IF(OR(A106="",F106=""),"",LOOKUP(F106,Lists!$F$2:$F$5,Lists!$G$2:$G$5))</f>
        <v/>
      </c>
      <c r="P106" s="16">
        <f>IF(A106="","",SUM(H106:K106))</f>
        <v/>
      </c>
      <c r="Q106" s="17">
        <f>IF(A106="","",IFERROR(P106/G106,""))</f>
        <v/>
      </c>
      <c r="R106" s="14">
        <f>IF(OR(A106="",G106=""),"",COUNTIFS($N$2:$N$1000,"&gt;0",$G$2:$G$1000,"&gt;"&amp;G106)+COUNTIFS($N$2:N106,"&gt;0",$G$2:G106,G106))</f>
        <v/>
      </c>
    </row>
    <row r="107">
      <c r="A107" s="9" t="n"/>
      <c r="B107" s="10" t="n"/>
      <c r="C107" s="10" t="n"/>
      <c r="D107" s="10" t="n"/>
      <c r="E107" s="10" t="n"/>
      <c r="F107" s="12" t="n"/>
      <c r="G107" s="13" t="n"/>
      <c r="H107" s="13" t="n"/>
      <c r="I107" s="13" t="n"/>
      <c r="J107" s="13" t="n"/>
      <c r="K107" s="13" t="n"/>
      <c r="L107" s="10" t="n"/>
      <c r="M107" s="10" t="n"/>
      <c r="N107" s="14">
        <f>IF(A107="","",WEEKNUM(A107,2))</f>
        <v/>
      </c>
      <c r="O107" s="15">
        <f>IF(OR(A107="",F107=""),"",LOOKUP(F107,Lists!$F$2:$F$5,Lists!$G$2:$G$5))</f>
        <v/>
      </c>
      <c r="P107" s="16">
        <f>IF(A107="","",SUM(H107:K107))</f>
        <v/>
      </c>
      <c r="Q107" s="17">
        <f>IF(A107="","",IFERROR(P107/G107,""))</f>
        <v/>
      </c>
      <c r="R107" s="14">
        <f>IF(OR(A107="",G107=""),"",COUNTIFS($N$2:$N$1000,"&gt;0",$G$2:$G$1000,"&gt;"&amp;G107)+COUNTIFS($N$2:N107,"&gt;0",$G$2:G107,G107))</f>
        <v/>
      </c>
    </row>
    <row r="108">
      <c r="A108" s="9" t="n"/>
      <c r="B108" s="10" t="n"/>
      <c r="C108" s="10" t="n"/>
      <c r="D108" s="10" t="n"/>
      <c r="E108" s="10" t="n"/>
      <c r="F108" s="12" t="n"/>
      <c r="G108" s="13" t="n"/>
      <c r="H108" s="13" t="n"/>
      <c r="I108" s="13" t="n"/>
      <c r="J108" s="13" t="n"/>
      <c r="K108" s="13" t="n"/>
      <c r="L108" s="10" t="n"/>
      <c r="M108" s="10" t="n"/>
      <c r="N108" s="14">
        <f>IF(A108="","",WEEKNUM(A108,2))</f>
        <v/>
      </c>
      <c r="O108" s="15">
        <f>IF(OR(A108="",F108=""),"",LOOKUP(F108,Lists!$F$2:$F$5,Lists!$G$2:$G$5))</f>
        <v/>
      </c>
      <c r="P108" s="16">
        <f>IF(A108="","",SUM(H108:K108))</f>
        <v/>
      </c>
      <c r="Q108" s="17">
        <f>IF(A108="","",IFERROR(P108/G108,""))</f>
        <v/>
      </c>
      <c r="R108" s="14">
        <f>IF(OR(A108="",G108=""),"",COUNTIFS($N$2:$N$1000,"&gt;0",$G$2:$G$1000,"&gt;"&amp;G108)+COUNTIFS($N$2:N108,"&gt;0",$G$2:G108,G108))</f>
        <v/>
      </c>
    </row>
    <row r="109">
      <c r="A109" s="9" t="n"/>
      <c r="B109" s="10" t="n"/>
      <c r="C109" s="10" t="n"/>
      <c r="D109" s="10" t="n"/>
      <c r="E109" s="10" t="n"/>
      <c r="F109" s="12" t="n"/>
      <c r="G109" s="13" t="n"/>
      <c r="H109" s="13" t="n"/>
      <c r="I109" s="13" t="n"/>
      <c r="J109" s="13" t="n"/>
      <c r="K109" s="13" t="n"/>
      <c r="L109" s="10" t="n"/>
      <c r="M109" s="10" t="n"/>
      <c r="N109" s="14">
        <f>IF(A109="","",WEEKNUM(A109,2))</f>
        <v/>
      </c>
      <c r="O109" s="15">
        <f>IF(OR(A109="",F109=""),"",LOOKUP(F109,Lists!$F$2:$F$5,Lists!$G$2:$G$5))</f>
        <v/>
      </c>
      <c r="P109" s="16">
        <f>IF(A109="","",SUM(H109:K109))</f>
        <v/>
      </c>
      <c r="Q109" s="17">
        <f>IF(A109="","",IFERROR(P109/G109,""))</f>
        <v/>
      </c>
      <c r="R109" s="14">
        <f>IF(OR(A109="",G109=""),"",COUNTIFS($N$2:$N$1000,"&gt;0",$G$2:$G$1000,"&gt;"&amp;G109)+COUNTIFS($N$2:N109,"&gt;0",$G$2:G109,G109))</f>
        <v/>
      </c>
    </row>
    <row r="110">
      <c r="A110" s="9" t="n"/>
      <c r="B110" s="10" t="n"/>
      <c r="C110" s="10" t="n"/>
      <c r="D110" s="10" t="n"/>
      <c r="E110" s="10" t="n"/>
      <c r="F110" s="12" t="n"/>
      <c r="G110" s="13" t="n"/>
      <c r="H110" s="13" t="n"/>
      <c r="I110" s="13" t="n"/>
      <c r="J110" s="13" t="n"/>
      <c r="K110" s="13" t="n"/>
      <c r="L110" s="10" t="n"/>
      <c r="M110" s="10" t="n"/>
      <c r="N110" s="14">
        <f>IF(A110="","",WEEKNUM(A110,2))</f>
        <v/>
      </c>
      <c r="O110" s="15">
        <f>IF(OR(A110="",F110=""),"",LOOKUP(F110,Lists!$F$2:$F$5,Lists!$G$2:$G$5))</f>
        <v/>
      </c>
      <c r="P110" s="16">
        <f>IF(A110="","",SUM(H110:K110))</f>
        <v/>
      </c>
      <c r="Q110" s="17">
        <f>IF(A110="","",IFERROR(P110/G110,""))</f>
        <v/>
      </c>
      <c r="R110" s="14">
        <f>IF(OR(A110="",G110=""),"",COUNTIFS($N$2:$N$1000,"&gt;0",$G$2:$G$1000,"&gt;"&amp;G110)+COUNTIFS($N$2:N110,"&gt;0",$G$2:G110,G110))</f>
        <v/>
      </c>
    </row>
    <row r="111">
      <c r="A111" s="9" t="n"/>
      <c r="B111" s="10" t="n"/>
      <c r="C111" s="10" t="n"/>
      <c r="D111" s="10" t="n"/>
      <c r="E111" s="10" t="n"/>
      <c r="F111" s="12" t="n"/>
      <c r="G111" s="13" t="n"/>
      <c r="H111" s="13" t="n"/>
      <c r="I111" s="13" t="n"/>
      <c r="J111" s="13" t="n"/>
      <c r="K111" s="13" t="n"/>
      <c r="L111" s="10" t="n"/>
      <c r="M111" s="10" t="n"/>
      <c r="N111" s="14">
        <f>IF(A111="","",WEEKNUM(A111,2))</f>
        <v/>
      </c>
      <c r="O111" s="15">
        <f>IF(OR(A111="",F111=""),"",LOOKUP(F111,Lists!$F$2:$F$5,Lists!$G$2:$G$5))</f>
        <v/>
      </c>
      <c r="P111" s="16">
        <f>IF(A111="","",SUM(H111:K111))</f>
        <v/>
      </c>
      <c r="Q111" s="17">
        <f>IF(A111="","",IFERROR(P111/G111,""))</f>
        <v/>
      </c>
      <c r="R111" s="14">
        <f>IF(OR(A111="",G111=""),"",COUNTIFS($N$2:$N$1000,"&gt;0",$G$2:$G$1000,"&gt;"&amp;G111)+COUNTIFS($N$2:N111,"&gt;0",$G$2:G111,G111))</f>
        <v/>
      </c>
    </row>
    <row r="112">
      <c r="A112" s="9" t="n"/>
      <c r="B112" s="10" t="n"/>
      <c r="C112" s="10" t="n"/>
      <c r="D112" s="10" t="n"/>
      <c r="E112" s="10" t="n"/>
      <c r="F112" s="12" t="n"/>
      <c r="G112" s="13" t="n"/>
      <c r="H112" s="13" t="n"/>
      <c r="I112" s="13" t="n"/>
      <c r="J112" s="13" t="n"/>
      <c r="K112" s="13" t="n"/>
      <c r="L112" s="10" t="n"/>
      <c r="M112" s="10" t="n"/>
      <c r="N112" s="14">
        <f>IF(A112="","",WEEKNUM(A112,2))</f>
        <v/>
      </c>
      <c r="O112" s="15">
        <f>IF(OR(A112="",F112=""),"",LOOKUP(F112,Lists!$F$2:$F$5,Lists!$G$2:$G$5))</f>
        <v/>
      </c>
      <c r="P112" s="16">
        <f>IF(A112="","",SUM(H112:K112))</f>
        <v/>
      </c>
      <c r="Q112" s="17">
        <f>IF(A112="","",IFERROR(P112/G112,""))</f>
        <v/>
      </c>
      <c r="R112" s="14">
        <f>IF(OR(A112="",G112=""),"",COUNTIFS($N$2:$N$1000,"&gt;0",$G$2:$G$1000,"&gt;"&amp;G112)+COUNTIFS($N$2:N112,"&gt;0",$G$2:G112,G112))</f>
        <v/>
      </c>
    </row>
    <row r="113">
      <c r="A113" s="9" t="n"/>
      <c r="B113" s="10" t="n"/>
      <c r="C113" s="10" t="n"/>
      <c r="D113" s="10" t="n"/>
      <c r="E113" s="10" t="n"/>
      <c r="F113" s="12" t="n"/>
      <c r="G113" s="13" t="n"/>
      <c r="H113" s="13" t="n"/>
      <c r="I113" s="13" t="n"/>
      <c r="J113" s="13" t="n"/>
      <c r="K113" s="13" t="n"/>
      <c r="L113" s="10" t="n"/>
      <c r="M113" s="10" t="n"/>
      <c r="N113" s="14">
        <f>IF(A113="","",WEEKNUM(A113,2))</f>
        <v/>
      </c>
      <c r="O113" s="15">
        <f>IF(OR(A113="",F113=""),"",LOOKUP(F113,Lists!$F$2:$F$5,Lists!$G$2:$G$5))</f>
        <v/>
      </c>
      <c r="P113" s="16">
        <f>IF(A113="","",SUM(H113:K113))</f>
        <v/>
      </c>
      <c r="Q113" s="17">
        <f>IF(A113="","",IFERROR(P113/G113,""))</f>
        <v/>
      </c>
      <c r="R113" s="14">
        <f>IF(OR(A113="",G113=""),"",COUNTIFS($N$2:$N$1000,"&gt;0",$G$2:$G$1000,"&gt;"&amp;G113)+COUNTIFS($N$2:N113,"&gt;0",$G$2:G113,G113))</f>
        <v/>
      </c>
    </row>
    <row r="114">
      <c r="A114" s="9" t="n"/>
      <c r="B114" s="10" t="n"/>
      <c r="C114" s="10" t="n"/>
      <c r="D114" s="10" t="n"/>
      <c r="E114" s="10" t="n"/>
      <c r="F114" s="12" t="n"/>
      <c r="G114" s="13" t="n"/>
      <c r="H114" s="13" t="n"/>
      <c r="I114" s="13" t="n"/>
      <c r="J114" s="13" t="n"/>
      <c r="K114" s="13" t="n"/>
      <c r="L114" s="10" t="n"/>
      <c r="M114" s="10" t="n"/>
      <c r="N114" s="14">
        <f>IF(A114="","",WEEKNUM(A114,2))</f>
        <v/>
      </c>
      <c r="O114" s="15">
        <f>IF(OR(A114="",F114=""),"",LOOKUP(F114,Lists!$F$2:$F$5,Lists!$G$2:$G$5))</f>
        <v/>
      </c>
      <c r="P114" s="16">
        <f>IF(A114="","",SUM(H114:K114))</f>
        <v/>
      </c>
      <c r="Q114" s="17">
        <f>IF(A114="","",IFERROR(P114/G114,""))</f>
        <v/>
      </c>
      <c r="R114" s="14">
        <f>IF(OR(A114="",G114=""),"",COUNTIFS($N$2:$N$1000,"&gt;0",$G$2:$G$1000,"&gt;"&amp;G114)+COUNTIFS($N$2:N114,"&gt;0",$G$2:G114,G114))</f>
        <v/>
      </c>
    </row>
    <row r="115">
      <c r="A115" s="9" t="n"/>
      <c r="B115" s="10" t="n"/>
      <c r="C115" s="10" t="n"/>
      <c r="D115" s="10" t="n"/>
      <c r="E115" s="10" t="n"/>
      <c r="F115" s="12" t="n"/>
      <c r="G115" s="13" t="n"/>
      <c r="H115" s="13" t="n"/>
      <c r="I115" s="13" t="n"/>
      <c r="J115" s="13" t="n"/>
      <c r="K115" s="13" t="n"/>
      <c r="L115" s="10" t="n"/>
      <c r="M115" s="10" t="n"/>
      <c r="N115" s="14">
        <f>IF(A115="","",WEEKNUM(A115,2))</f>
        <v/>
      </c>
      <c r="O115" s="15">
        <f>IF(OR(A115="",F115=""),"",LOOKUP(F115,Lists!$F$2:$F$5,Lists!$G$2:$G$5))</f>
        <v/>
      </c>
      <c r="P115" s="16">
        <f>IF(A115="","",SUM(H115:K115))</f>
        <v/>
      </c>
      <c r="Q115" s="17">
        <f>IF(A115="","",IFERROR(P115/G115,""))</f>
        <v/>
      </c>
      <c r="R115" s="14">
        <f>IF(OR(A115="",G115=""),"",COUNTIFS($N$2:$N$1000,"&gt;0",$G$2:$G$1000,"&gt;"&amp;G115)+COUNTIFS($N$2:N115,"&gt;0",$G$2:G115,G115))</f>
        <v/>
      </c>
    </row>
    <row r="116">
      <c r="A116" s="9" t="n"/>
      <c r="B116" s="10" t="n"/>
      <c r="C116" s="10" t="n"/>
      <c r="D116" s="10" t="n"/>
      <c r="E116" s="10" t="n"/>
      <c r="F116" s="12" t="n"/>
      <c r="G116" s="13" t="n"/>
      <c r="H116" s="13" t="n"/>
      <c r="I116" s="13" t="n"/>
      <c r="J116" s="13" t="n"/>
      <c r="K116" s="13" t="n"/>
      <c r="L116" s="10" t="n"/>
      <c r="M116" s="10" t="n"/>
      <c r="N116" s="14">
        <f>IF(A116="","",WEEKNUM(A116,2))</f>
        <v/>
      </c>
      <c r="O116" s="15">
        <f>IF(OR(A116="",F116=""),"",LOOKUP(F116,Lists!$F$2:$F$5,Lists!$G$2:$G$5))</f>
        <v/>
      </c>
      <c r="P116" s="16">
        <f>IF(A116="","",SUM(H116:K116))</f>
        <v/>
      </c>
      <c r="Q116" s="17">
        <f>IF(A116="","",IFERROR(P116/G116,""))</f>
        <v/>
      </c>
      <c r="R116" s="14">
        <f>IF(OR(A116="",G116=""),"",COUNTIFS($N$2:$N$1000,"&gt;0",$G$2:$G$1000,"&gt;"&amp;G116)+COUNTIFS($N$2:N116,"&gt;0",$G$2:G116,G116))</f>
        <v/>
      </c>
    </row>
    <row r="117">
      <c r="A117" s="9" t="n"/>
      <c r="B117" s="10" t="n"/>
      <c r="C117" s="10" t="n"/>
      <c r="D117" s="10" t="n"/>
      <c r="E117" s="10" t="n"/>
      <c r="F117" s="12" t="n"/>
      <c r="G117" s="13" t="n"/>
      <c r="H117" s="13" t="n"/>
      <c r="I117" s="13" t="n"/>
      <c r="J117" s="13" t="n"/>
      <c r="K117" s="13" t="n"/>
      <c r="L117" s="10" t="n"/>
      <c r="M117" s="10" t="n"/>
      <c r="N117" s="14">
        <f>IF(A117="","",WEEKNUM(A117,2))</f>
        <v/>
      </c>
      <c r="O117" s="15">
        <f>IF(OR(A117="",F117=""),"",LOOKUP(F117,Lists!$F$2:$F$5,Lists!$G$2:$G$5))</f>
        <v/>
      </c>
      <c r="P117" s="16">
        <f>IF(A117="","",SUM(H117:K117))</f>
        <v/>
      </c>
      <c r="Q117" s="17">
        <f>IF(A117="","",IFERROR(P117/G117,""))</f>
        <v/>
      </c>
      <c r="R117" s="14">
        <f>IF(OR(A117="",G117=""),"",COUNTIFS($N$2:$N$1000,"&gt;0",$G$2:$G$1000,"&gt;"&amp;G117)+COUNTIFS($N$2:N117,"&gt;0",$G$2:G117,G117))</f>
        <v/>
      </c>
    </row>
    <row r="118">
      <c r="A118" s="9" t="n"/>
      <c r="B118" s="10" t="n"/>
      <c r="C118" s="10" t="n"/>
      <c r="D118" s="10" t="n"/>
      <c r="E118" s="10" t="n"/>
      <c r="F118" s="12" t="n"/>
      <c r="G118" s="13" t="n"/>
      <c r="H118" s="13" t="n"/>
      <c r="I118" s="13" t="n"/>
      <c r="J118" s="13" t="n"/>
      <c r="K118" s="13" t="n"/>
      <c r="L118" s="10" t="n"/>
      <c r="M118" s="10" t="n"/>
      <c r="N118" s="14">
        <f>IF(A118="","",WEEKNUM(A118,2))</f>
        <v/>
      </c>
      <c r="O118" s="15">
        <f>IF(OR(A118="",F118=""),"",LOOKUP(F118,Lists!$F$2:$F$5,Lists!$G$2:$G$5))</f>
        <v/>
      </c>
      <c r="P118" s="16">
        <f>IF(A118="","",SUM(H118:K118))</f>
        <v/>
      </c>
      <c r="Q118" s="17">
        <f>IF(A118="","",IFERROR(P118/G118,""))</f>
        <v/>
      </c>
      <c r="R118" s="14">
        <f>IF(OR(A118="",G118=""),"",COUNTIFS($N$2:$N$1000,"&gt;0",$G$2:$G$1000,"&gt;"&amp;G118)+COUNTIFS($N$2:N118,"&gt;0",$G$2:G118,G118))</f>
        <v/>
      </c>
    </row>
    <row r="119">
      <c r="A119" s="9" t="n"/>
      <c r="B119" s="10" t="n"/>
      <c r="C119" s="10" t="n"/>
      <c r="D119" s="10" t="n"/>
      <c r="E119" s="10" t="n"/>
      <c r="F119" s="12" t="n"/>
      <c r="G119" s="13" t="n"/>
      <c r="H119" s="13" t="n"/>
      <c r="I119" s="13" t="n"/>
      <c r="J119" s="13" t="n"/>
      <c r="K119" s="13" t="n"/>
      <c r="L119" s="10" t="n"/>
      <c r="M119" s="10" t="n"/>
      <c r="N119" s="14">
        <f>IF(A119="","",WEEKNUM(A119,2))</f>
        <v/>
      </c>
      <c r="O119" s="15">
        <f>IF(OR(A119="",F119=""),"",LOOKUP(F119,Lists!$F$2:$F$5,Lists!$G$2:$G$5))</f>
        <v/>
      </c>
      <c r="P119" s="16">
        <f>IF(A119="","",SUM(H119:K119))</f>
        <v/>
      </c>
      <c r="Q119" s="17">
        <f>IF(A119="","",IFERROR(P119/G119,""))</f>
        <v/>
      </c>
      <c r="R119" s="14">
        <f>IF(OR(A119="",G119=""),"",COUNTIFS($N$2:$N$1000,"&gt;0",$G$2:$G$1000,"&gt;"&amp;G119)+COUNTIFS($N$2:N119,"&gt;0",$G$2:G119,G119))</f>
        <v/>
      </c>
    </row>
    <row r="120">
      <c r="A120" s="9" t="n"/>
      <c r="B120" s="10" t="n"/>
      <c r="C120" s="10" t="n"/>
      <c r="D120" s="10" t="n"/>
      <c r="E120" s="10" t="n"/>
      <c r="F120" s="12" t="n"/>
      <c r="G120" s="13" t="n"/>
      <c r="H120" s="13" t="n"/>
      <c r="I120" s="13" t="n"/>
      <c r="J120" s="13" t="n"/>
      <c r="K120" s="13" t="n"/>
      <c r="L120" s="10" t="n"/>
      <c r="M120" s="10" t="n"/>
      <c r="N120" s="14">
        <f>IF(A120="","",WEEKNUM(A120,2))</f>
        <v/>
      </c>
      <c r="O120" s="15">
        <f>IF(OR(A120="",F120=""),"",LOOKUP(F120,Lists!$F$2:$F$5,Lists!$G$2:$G$5))</f>
        <v/>
      </c>
      <c r="P120" s="16">
        <f>IF(A120="","",SUM(H120:K120))</f>
        <v/>
      </c>
      <c r="Q120" s="17">
        <f>IF(A120="","",IFERROR(P120/G120,""))</f>
        <v/>
      </c>
      <c r="R120" s="14">
        <f>IF(OR(A120="",G120=""),"",COUNTIFS($N$2:$N$1000,"&gt;0",$G$2:$G$1000,"&gt;"&amp;G120)+COUNTIFS($N$2:N120,"&gt;0",$G$2:G120,G120))</f>
        <v/>
      </c>
    </row>
    <row r="121">
      <c r="A121" s="9" t="n"/>
      <c r="B121" s="10" t="n"/>
      <c r="C121" s="10" t="n"/>
      <c r="D121" s="10" t="n"/>
      <c r="E121" s="10" t="n"/>
      <c r="F121" s="12" t="n"/>
      <c r="G121" s="13" t="n"/>
      <c r="H121" s="13" t="n"/>
      <c r="I121" s="13" t="n"/>
      <c r="J121" s="13" t="n"/>
      <c r="K121" s="13" t="n"/>
      <c r="L121" s="10" t="n"/>
      <c r="M121" s="10" t="n"/>
      <c r="N121" s="14">
        <f>IF(A121="","",WEEKNUM(A121,2))</f>
        <v/>
      </c>
      <c r="O121" s="15">
        <f>IF(OR(A121="",F121=""),"",LOOKUP(F121,Lists!$F$2:$F$5,Lists!$G$2:$G$5))</f>
        <v/>
      </c>
      <c r="P121" s="16">
        <f>IF(A121="","",SUM(H121:K121))</f>
        <v/>
      </c>
      <c r="Q121" s="17">
        <f>IF(A121="","",IFERROR(P121/G121,""))</f>
        <v/>
      </c>
      <c r="R121" s="14">
        <f>IF(OR(A121="",G121=""),"",COUNTIFS($N$2:$N$1000,"&gt;0",$G$2:$G$1000,"&gt;"&amp;G121)+COUNTIFS($N$2:N121,"&gt;0",$G$2:G121,G121))</f>
        <v/>
      </c>
    </row>
    <row r="122">
      <c r="A122" s="9" t="n"/>
      <c r="B122" s="10" t="n"/>
      <c r="C122" s="10" t="n"/>
      <c r="D122" s="10" t="n"/>
      <c r="E122" s="10" t="n"/>
      <c r="F122" s="12" t="n"/>
      <c r="G122" s="13" t="n"/>
      <c r="H122" s="13" t="n"/>
      <c r="I122" s="13" t="n"/>
      <c r="J122" s="13" t="n"/>
      <c r="K122" s="13" t="n"/>
      <c r="L122" s="10" t="n"/>
      <c r="M122" s="10" t="n"/>
      <c r="N122" s="14">
        <f>IF(A122="","",WEEKNUM(A122,2))</f>
        <v/>
      </c>
      <c r="O122" s="15">
        <f>IF(OR(A122="",F122=""),"",LOOKUP(F122,Lists!$F$2:$F$5,Lists!$G$2:$G$5))</f>
        <v/>
      </c>
      <c r="P122" s="16">
        <f>IF(A122="","",SUM(H122:K122))</f>
        <v/>
      </c>
      <c r="Q122" s="17">
        <f>IF(A122="","",IFERROR(P122/G122,""))</f>
        <v/>
      </c>
      <c r="R122" s="14">
        <f>IF(OR(A122="",G122=""),"",COUNTIFS($N$2:$N$1000,"&gt;0",$G$2:$G$1000,"&gt;"&amp;G122)+COUNTIFS($N$2:N122,"&gt;0",$G$2:G122,G122))</f>
        <v/>
      </c>
    </row>
    <row r="123">
      <c r="A123" s="9" t="n"/>
      <c r="B123" s="10" t="n"/>
      <c r="C123" s="10" t="n"/>
      <c r="D123" s="10" t="n"/>
      <c r="E123" s="10" t="n"/>
      <c r="F123" s="12" t="n"/>
      <c r="G123" s="13" t="n"/>
      <c r="H123" s="13" t="n"/>
      <c r="I123" s="13" t="n"/>
      <c r="J123" s="13" t="n"/>
      <c r="K123" s="13" t="n"/>
      <c r="L123" s="10" t="n"/>
      <c r="M123" s="10" t="n"/>
      <c r="N123" s="14">
        <f>IF(A123="","",WEEKNUM(A123,2))</f>
        <v/>
      </c>
      <c r="O123" s="15">
        <f>IF(OR(A123="",F123=""),"",LOOKUP(F123,Lists!$F$2:$F$5,Lists!$G$2:$G$5))</f>
        <v/>
      </c>
      <c r="P123" s="16">
        <f>IF(A123="","",SUM(H123:K123))</f>
        <v/>
      </c>
      <c r="Q123" s="17">
        <f>IF(A123="","",IFERROR(P123/G123,""))</f>
        <v/>
      </c>
      <c r="R123" s="14">
        <f>IF(OR(A123="",G123=""),"",COUNTIFS($N$2:$N$1000,"&gt;0",$G$2:$G$1000,"&gt;"&amp;G123)+COUNTIFS($N$2:N123,"&gt;0",$G$2:G123,G123))</f>
        <v/>
      </c>
    </row>
    <row r="124">
      <c r="A124" s="9" t="n"/>
      <c r="B124" s="10" t="n"/>
      <c r="C124" s="10" t="n"/>
      <c r="D124" s="10" t="n"/>
      <c r="E124" s="10" t="n"/>
      <c r="F124" s="12" t="n"/>
      <c r="G124" s="13" t="n"/>
      <c r="H124" s="13" t="n"/>
      <c r="I124" s="13" t="n"/>
      <c r="J124" s="13" t="n"/>
      <c r="K124" s="13" t="n"/>
      <c r="L124" s="10" t="n"/>
      <c r="M124" s="10" t="n"/>
      <c r="N124" s="14">
        <f>IF(A124="","",WEEKNUM(A124,2))</f>
        <v/>
      </c>
      <c r="O124" s="15">
        <f>IF(OR(A124="",F124=""),"",LOOKUP(F124,Lists!$F$2:$F$5,Lists!$G$2:$G$5))</f>
        <v/>
      </c>
      <c r="P124" s="16">
        <f>IF(A124="","",SUM(H124:K124))</f>
        <v/>
      </c>
      <c r="Q124" s="17">
        <f>IF(A124="","",IFERROR(P124/G124,""))</f>
        <v/>
      </c>
      <c r="R124" s="14">
        <f>IF(OR(A124="",G124=""),"",COUNTIFS($N$2:$N$1000,"&gt;0",$G$2:$G$1000,"&gt;"&amp;G124)+COUNTIFS($N$2:N124,"&gt;0",$G$2:G124,G124))</f>
        <v/>
      </c>
    </row>
    <row r="125">
      <c r="A125" s="9" t="n"/>
      <c r="B125" s="10" t="n"/>
      <c r="C125" s="10" t="n"/>
      <c r="D125" s="10" t="n"/>
      <c r="E125" s="10" t="n"/>
      <c r="F125" s="12" t="n"/>
      <c r="G125" s="13" t="n"/>
      <c r="H125" s="13" t="n"/>
      <c r="I125" s="13" t="n"/>
      <c r="J125" s="13" t="n"/>
      <c r="K125" s="13" t="n"/>
      <c r="L125" s="10" t="n"/>
      <c r="M125" s="10" t="n"/>
      <c r="N125" s="14">
        <f>IF(A125="","",WEEKNUM(A125,2))</f>
        <v/>
      </c>
      <c r="O125" s="15">
        <f>IF(OR(A125="",F125=""),"",LOOKUP(F125,Lists!$F$2:$F$5,Lists!$G$2:$G$5))</f>
        <v/>
      </c>
      <c r="P125" s="16">
        <f>IF(A125="","",SUM(H125:K125))</f>
        <v/>
      </c>
      <c r="Q125" s="17">
        <f>IF(A125="","",IFERROR(P125/G125,""))</f>
        <v/>
      </c>
      <c r="R125" s="14">
        <f>IF(OR(A125="",G125=""),"",COUNTIFS($N$2:$N$1000,"&gt;0",$G$2:$G$1000,"&gt;"&amp;G125)+COUNTIFS($N$2:N125,"&gt;0",$G$2:G125,G125))</f>
        <v/>
      </c>
    </row>
    <row r="126">
      <c r="A126" s="9" t="n"/>
      <c r="B126" s="10" t="n"/>
      <c r="C126" s="10" t="n"/>
      <c r="D126" s="10" t="n"/>
      <c r="E126" s="10" t="n"/>
      <c r="F126" s="12" t="n"/>
      <c r="G126" s="13" t="n"/>
      <c r="H126" s="13" t="n"/>
      <c r="I126" s="13" t="n"/>
      <c r="J126" s="13" t="n"/>
      <c r="K126" s="13" t="n"/>
      <c r="L126" s="10" t="n"/>
      <c r="M126" s="10" t="n"/>
      <c r="N126" s="14">
        <f>IF(A126="","",WEEKNUM(A126,2))</f>
        <v/>
      </c>
      <c r="O126" s="15">
        <f>IF(OR(A126="",F126=""),"",LOOKUP(F126,Lists!$F$2:$F$5,Lists!$G$2:$G$5))</f>
        <v/>
      </c>
      <c r="P126" s="16">
        <f>IF(A126="","",SUM(H126:K126))</f>
        <v/>
      </c>
      <c r="Q126" s="17">
        <f>IF(A126="","",IFERROR(P126/G126,""))</f>
        <v/>
      </c>
      <c r="R126" s="14">
        <f>IF(OR(A126="",G126=""),"",COUNTIFS($N$2:$N$1000,"&gt;0",$G$2:$G$1000,"&gt;"&amp;G126)+COUNTIFS($N$2:N126,"&gt;0",$G$2:G126,G126))</f>
        <v/>
      </c>
    </row>
    <row r="127">
      <c r="A127" s="9" t="n"/>
      <c r="B127" s="10" t="n"/>
      <c r="C127" s="10" t="n"/>
      <c r="D127" s="10" t="n"/>
      <c r="E127" s="10" t="n"/>
      <c r="F127" s="12" t="n"/>
      <c r="G127" s="13" t="n"/>
      <c r="H127" s="13" t="n"/>
      <c r="I127" s="13" t="n"/>
      <c r="J127" s="13" t="n"/>
      <c r="K127" s="13" t="n"/>
      <c r="L127" s="10" t="n"/>
      <c r="M127" s="10" t="n"/>
      <c r="N127" s="14">
        <f>IF(A127="","",WEEKNUM(A127,2))</f>
        <v/>
      </c>
      <c r="O127" s="15">
        <f>IF(OR(A127="",F127=""),"",LOOKUP(F127,Lists!$F$2:$F$5,Lists!$G$2:$G$5))</f>
        <v/>
      </c>
      <c r="P127" s="16">
        <f>IF(A127="","",SUM(H127:K127))</f>
        <v/>
      </c>
      <c r="Q127" s="17">
        <f>IF(A127="","",IFERROR(P127/G127,""))</f>
        <v/>
      </c>
      <c r="R127" s="14">
        <f>IF(OR(A127="",G127=""),"",COUNTIFS($N$2:$N$1000,"&gt;0",$G$2:$G$1000,"&gt;"&amp;G127)+COUNTIFS($N$2:N127,"&gt;0",$G$2:G127,G127))</f>
        <v/>
      </c>
    </row>
    <row r="128">
      <c r="A128" s="9" t="n"/>
      <c r="B128" s="10" t="n"/>
      <c r="C128" s="10" t="n"/>
      <c r="D128" s="10" t="n"/>
      <c r="E128" s="10" t="n"/>
      <c r="F128" s="12" t="n"/>
      <c r="G128" s="13" t="n"/>
      <c r="H128" s="13" t="n"/>
      <c r="I128" s="13" t="n"/>
      <c r="J128" s="13" t="n"/>
      <c r="K128" s="13" t="n"/>
      <c r="L128" s="10" t="n"/>
      <c r="M128" s="10" t="n"/>
      <c r="N128" s="14">
        <f>IF(A128="","",WEEKNUM(A128,2))</f>
        <v/>
      </c>
      <c r="O128" s="15">
        <f>IF(OR(A128="",F128=""),"",LOOKUP(F128,Lists!$F$2:$F$5,Lists!$G$2:$G$5))</f>
        <v/>
      </c>
      <c r="P128" s="16">
        <f>IF(A128="","",SUM(H128:K128))</f>
        <v/>
      </c>
      <c r="Q128" s="17">
        <f>IF(A128="","",IFERROR(P128/G128,""))</f>
        <v/>
      </c>
      <c r="R128" s="14">
        <f>IF(OR(A128="",G128=""),"",COUNTIFS($N$2:$N$1000,"&gt;0",$G$2:$G$1000,"&gt;"&amp;G128)+COUNTIFS($N$2:N128,"&gt;0",$G$2:G128,G128))</f>
        <v/>
      </c>
    </row>
    <row r="129">
      <c r="A129" s="9" t="n"/>
      <c r="B129" s="10" t="n"/>
      <c r="C129" s="10" t="n"/>
      <c r="D129" s="10" t="n"/>
      <c r="E129" s="10" t="n"/>
      <c r="F129" s="12" t="n"/>
      <c r="G129" s="13" t="n"/>
      <c r="H129" s="13" t="n"/>
      <c r="I129" s="13" t="n"/>
      <c r="J129" s="13" t="n"/>
      <c r="K129" s="13" t="n"/>
      <c r="L129" s="10" t="n"/>
      <c r="M129" s="10" t="n"/>
      <c r="N129" s="14">
        <f>IF(A129="","",WEEKNUM(A129,2))</f>
        <v/>
      </c>
      <c r="O129" s="15">
        <f>IF(OR(A129="",F129=""),"",LOOKUP(F129,Lists!$F$2:$F$5,Lists!$G$2:$G$5))</f>
        <v/>
      </c>
      <c r="P129" s="16">
        <f>IF(A129="","",SUM(H129:K129))</f>
        <v/>
      </c>
      <c r="Q129" s="17">
        <f>IF(A129="","",IFERROR(P129/G129,""))</f>
        <v/>
      </c>
      <c r="R129" s="14">
        <f>IF(OR(A129="",G129=""),"",COUNTIFS($N$2:$N$1000,"&gt;0",$G$2:$G$1000,"&gt;"&amp;G129)+COUNTIFS($N$2:N129,"&gt;0",$G$2:G129,G129))</f>
        <v/>
      </c>
    </row>
    <row r="130">
      <c r="A130" s="9" t="n"/>
      <c r="B130" s="10" t="n"/>
      <c r="C130" s="10" t="n"/>
      <c r="D130" s="10" t="n"/>
      <c r="E130" s="10" t="n"/>
      <c r="F130" s="12" t="n"/>
      <c r="G130" s="13" t="n"/>
      <c r="H130" s="13" t="n"/>
      <c r="I130" s="13" t="n"/>
      <c r="J130" s="13" t="n"/>
      <c r="K130" s="13" t="n"/>
      <c r="L130" s="10" t="n"/>
      <c r="M130" s="10" t="n"/>
      <c r="N130" s="14">
        <f>IF(A130="","",WEEKNUM(A130,2))</f>
        <v/>
      </c>
      <c r="O130" s="15">
        <f>IF(OR(A130="",F130=""),"",LOOKUP(F130,Lists!$F$2:$F$5,Lists!$G$2:$G$5))</f>
        <v/>
      </c>
      <c r="P130" s="16">
        <f>IF(A130="","",SUM(H130:K130))</f>
        <v/>
      </c>
      <c r="Q130" s="17">
        <f>IF(A130="","",IFERROR(P130/G130,""))</f>
        <v/>
      </c>
      <c r="R130" s="14">
        <f>IF(OR(A130="",G130=""),"",COUNTIFS($N$2:$N$1000,"&gt;0",$G$2:$G$1000,"&gt;"&amp;G130)+COUNTIFS($N$2:N130,"&gt;0",$G$2:G130,G130))</f>
        <v/>
      </c>
    </row>
    <row r="131">
      <c r="A131" s="9" t="n"/>
      <c r="B131" s="10" t="n"/>
      <c r="C131" s="10" t="n"/>
      <c r="D131" s="10" t="n"/>
      <c r="E131" s="10" t="n"/>
      <c r="F131" s="12" t="n"/>
      <c r="G131" s="13" t="n"/>
      <c r="H131" s="13" t="n"/>
      <c r="I131" s="13" t="n"/>
      <c r="J131" s="13" t="n"/>
      <c r="K131" s="13" t="n"/>
      <c r="L131" s="10" t="n"/>
      <c r="M131" s="10" t="n"/>
      <c r="N131" s="14">
        <f>IF(A131="","",WEEKNUM(A131,2))</f>
        <v/>
      </c>
      <c r="O131" s="15">
        <f>IF(OR(A131="",F131=""),"",LOOKUP(F131,Lists!$F$2:$F$5,Lists!$G$2:$G$5))</f>
        <v/>
      </c>
      <c r="P131" s="16">
        <f>IF(A131="","",SUM(H131:K131))</f>
        <v/>
      </c>
      <c r="Q131" s="17">
        <f>IF(A131="","",IFERROR(P131/G131,""))</f>
        <v/>
      </c>
      <c r="R131" s="14">
        <f>IF(OR(A131="",G131=""),"",COUNTIFS($N$2:$N$1000,"&gt;0",$G$2:$G$1000,"&gt;"&amp;G131)+COUNTIFS($N$2:N131,"&gt;0",$G$2:G131,G131))</f>
        <v/>
      </c>
    </row>
    <row r="132">
      <c r="A132" s="9" t="n"/>
      <c r="B132" s="10" t="n"/>
      <c r="C132" s="10" t="n"/>
      <c r="D132" s="10" t="n"/>
      <c r="E132" s="10" t="n"/>
      <c r="F132" s="12" t="n"/>
      <c r="G132" s="13" t="n"/>
      <c r="H132" s="13" t="n"/>
      <c r="I132" s="13" t="n"/>
      <c r="J132" s="13" t="n"/>
      <c r="K132" s="13" t="n"/>
      <c r="L132" s="10" t="n"/>
      <c r="M132" s="10" t="n"/>
      <c r="N132" s="14">
        <f>IF(A132="","",WEEKNUM(A132,2))</f>
        <v/>
      </c>
      <c r="O132" s="15">
        <f>IF(OR(A132="",F132=""),"",LOOKUP(F132,Lists!$F$2:$F$5,Lists!$G$2:$G$5))</f>
        <v/>
      </c>
      <c r="P132" s="16">
        <f>IF(A132="","",SUM(H132:K132))</f>
        <v/>
      </c>
      <c r="Q132" s="17">
        <f>IF(A132="","",IFERROR(P132/G132,""))</f>
        <v/>
      </c>
      <c r="R132" s="14">
        <f>IF(OR(A132="",G132=""),"",COUNTIFS($N$2:$N$1000,"&gt;0",$G$2:$G$1000,"&gt;"&amp;G132)+COUNTIFS($N$2:N132,"&gt;0",$G$2:G132,G132))</f>
        <v/>
      </c>
    </row>
    <row r="133">
      <c r="A133" s="9" t="n"/>
      <c r="B133" s="10" t="n"/>
      <c r="C133" s="10" t="n"/>
      <c r="D133" s="10" t="n"/>
      <c r="E133" s="10" t="n"/>
      <c r="F133" s="12" t="n"/>
      <c r="G133" s="13" t="n"/>
      <c r="H133" s="13" t="n"/>
      <c r="I133" s="13" t="n"/>
      <c r="J133" s="13" t="n"/>
      <c r="K133" s="13" t="n"/>
      <c r="L133" s="10" t="n"/>
      <c r="M133" s="10" t="n"/>
      <c r="N133" s="14">
        <f>IF(A133="","",WEEKNUM(A133,2))</f>
        <v/>
      </c>
      <c r="O133" s="15">
        <f>IF(OR(A133="",F133=""),"",LOOKUP(F133,Lists!$F$2:$F$5,Lists!$G$2:$G$5))</f>
        <v/>
      </c>
      <c r="P133" s="16">
        <f>IF(A133="","",SUM(H133:K133))</f>
        <v/>
      </c>
      <c r="Q133" s="17">
        <f>IF(A133="","",IFERROR(P133/G133,""))</f>
        <v/>
      </c>
      <c r="R133" s="14">
        <f>IF(OR(A133="",G133=""),"",COUNTIFS($N$2:$N$1000,"&gt;0",$G$2:$G$1000,"&gt;"&amp;G133)+COUNTIFS($N$2:N133,"&gt;0",$G$2:G133,G133))</f>
        <v/>
      </c>
    </row>
    <row r="134">
      <c r="A134" s="9" t="n"/>
      <c r="B134" s="10" t="n"/>
      <c r="C134" s="10" t="n"/>
      <c r="D134" s="10" t="n"/>
      <c r="E134" s="10" t="n"/>
      <c r="F134" s="12" t="n"/>
      <c r="G134" s="13" t="n"/>
      <c r="H134" s="13" t="n"/>
      <c r="I134" s="13" t="n"/>
      <c r="J134" s="13" t="n"/>
      <c r="K134" s="13" t="n"/>
      <c r="L134" s="10" t="n"/>
      <c r="M134" s="10" t="n"/>
      <c r="N134" s="14">
        <f>IF(A134="","",WEEKNUM(A134,2))</f>
        <v/>
      </c>
      <c r="O134" s="15">
        <f>IF(OR(A134="",F134=""),"",LOOKUP(F134,Lists!$F$2:$F$5,Lists!$G$2:$G$5))</f>
        <v/>
      </c>
      <c r="P134" s="16">
        <f>IF(A134="","",SUM(H134:K134))</f>
        <v/>
      </c>
      <c r="Q134" s="17">
        <f>IF(A134="","",IFERROR(P134/G134,""))</f>
        <v/>
      </c>
      <c r="R134" s="14">
        <f>IF(OR(A134="",G134=""),"",COUNTIFS($N$2:$N$1000,"&gt;0",$G$2:$G$1000,"&gt;"&amp;G134)+COUNTIFS($N$2:N134,"&gt;0",$G$2:G134,G134))</f>
        <v/>
      </c>
    </row>
    <row r="135">
      <c r="A135" s="9" t="n"/>
      <c r="B135" s="10" t="n"/>
      <c r="C135" s="10" t="n"/>
      <c r="D135" s="10" t="n"/>
      <c r="E135" s="10" t="n"/>
      <c r="F135" s="12" t="n"/>
      <c r="G135" s="13" t="n"/>
      <c r="H135" s="13" t="n"/>
      <c r="I135" s="13" t="n"/>
      <c r="J135" s="13" t="n"/>
      <c r="K135" s="13" t="n"/>
      <c r="L135" s="10" t="n"/>
      <c r="M135" s="10" t="n"/>
      <c r="N135" s="14">
        <f>IF(A135="","",WEEKNUM(A135,2))</f>
        <v/>
      </c>
      <c r="O135" s="15">
        <f>IF(OR(A135="",F135=""),"",LOOKUP(F135,Lists!$F$2:$F$5,Lists!$G$2:$G$5))</f>
        <v/>
      </c>
      <c r="P135" s="16">
        <f>IF(A135="","",SUM(H135:K135))</f>
        <v/>
      </c>
      <c r="Q135" s="17">
        <f>IF(A135="","",IFERROR(P135/G135,""))</f>
        <v/>
      </c>
      <c r="R135" s="14">
        <f>IF(OR(A135="",G135=""),"",COUNTIFS($N$2:$N$1000,"&gt;0",$G$2:$G$1000,"&gt;"&amp;G135)+COUNTIFS($N$2:N135,"&gt;0",$G$2:G135,G135))</f>
        <v/>
      </c>
    </row>
    <row r="136">
      <c r="A136" s="9" t="n"/>
      <c r="B136" s="10" t="n"/>
      <c r="C136" s="10" t="n"/>
      <c r="D136" s="10" t="n"/>
      <c r="E136" s="10" t="n"/>
      <c r="F136" s="12" t="n"/>
      <c r="G136" s="13" t="n"/>
      <c r="H136" s="13" t="n"/>
      <c r="I136" s="13" t="n"/>
      <c r="J136" s="13" t="n"/>
      <c r="K136" s="13" t="n"/>
      <c r="L136" s="10" t="n"/>
      <c r="M136" s="10" t="n"/>
      <c r="N136" s="14">
        <f>IF(A136="","",WEEKNUM(A136,2))</f>
        <v/>
      </c>
      <c r="O136" s="15">
        <f>IF(OR(A136="",F136=""),"",LOOKUP(F136,Lists!$F$2:$F$5,Lists!$G$2:$G$5))</f>
        <v/>
      </c>
      <c r="P136" s="16">
        <f>IF(A136="","",SUM(H136:K136))</f>
        <v/>
      </c>
      <c r="Q136" s="17">
        <f>IF(A136="","",IFERROR(P136/G136,""))</f>
        <v/>
      </c>
      <c r="R136" s="14">
        <f>IF(OR(A136="",G136=""),"",COUNTIFS($N$2:$N$1000,"&gt;0",$G$2:$G$1000,"&gt;"&amp;G136)+COUNTIFS($N$2:N136,"&gt;0",$G$2:G136,G136))</f>
        <v/>
      </c>
    </row>
    <row r="137">
      <c r="A137" s="9" t="n"/>
      <c r="B137" s="10" t="n"/>
      <c r="C137" s="10" t="n"/>
      <c r="D137" s="10" t="n"/>
      <c r="E137" s="10" t="n"/>
      <c r="F137" s="12" t="n"/>
      <c r="G137" s="13" t="n"/>
      <c r="H137" s="13" t="n"/>
      <c r="I137" s="13" t="n"/>
      <c r="J137" s="13" t="n"/>
      <c r="K137" s="13" t="n"/>
      <c r="L137" s="10" t="n"/>
      <c r="M137" s="10" t="n"/>
      <c r="N137" s="14">
        <f>IF(A137="","",WEEKNUM(A137,2))</f>
        <v/>
      </c>
      <c r="O137" s="15">
        <f>IF(OR(A137="",F137=""),"",LOOKUP(F137,Lists!$F$2:$F$5,Lists!$G$2:$G$5))</f>
        <v/>
      </c>
      <c r="P137" s="16">
        <f>IF(A137="","",SUM(H137:K137))</f>
        <v/>
      </c>
      <c r="Q137" s="17">
        <f>IF(A137="","",IFERROR(P137/G137,""))</f>
        <v/>
      </c>
      <c r="R137" s="14">
        <f>IF(OR(A137="",G137=""),"",COUNTIFS($N$2:$N$1000,"&gt;0",$G$2:$G$1000,"&gt;"&amp;G137)+COUNTIFS($N$2:N137,"&gt;0",$G$2:G137,G137))</f>
        <v/>
      </c>
    </row>
    <row r="138">
      <c r="A138" s="9" t="n"/>
      <c r="B138" s="10" t="n"/>
      <c r="C138" s="10" t="n"/>
      <c r="D138" s="10" t="n"/>
      <c r="E138" s="10" t="n"/>
      <c r="F138" s="12" t="n"/>
      <c r="G138" s="13" t="n"/>
      <c r="H138" s="13" t="n"/>
      <c r="I138" s="13" t="n"/>
      <c r="J138" s="13" t="n"/>
      <c r="K138" s="13" t="n"/>
      <c r="L138" s="10" t="n"/>
      <c r="M138" s="10" t="n"/>
      <c r="N138" s="14">
        <f>IF(A138="","",WEEKNUM(A138,2))</f>
        <v/>
      </c>
      <c r="O138" s="15">
        <f>IF(OR(A138="",F138=""),"",LOOKUP(F138,Lists!$F$2:$F$5,Lists!$G$2:$G$5))</f>
        <v/>
      </c>
      <c r="P138" s="16">
        <f>IF(A138="","",SUM(H138:K138))</f>
        <v/>
      </c>
      <c r="Q138" s="17">
        <f>IF(A138="","",IFERROR(P138/G138,""))</f>
        <v/>
      </c>
      <c r="R138" s="14">
        <f>IF(OR(A138="",G138=""),"",COUNTIFS($N$2:$N$1000,"&gt;0",$G$2:$G$1000,"&gt;"&amp;G138)+COUNTIFS($N$2:N138,"&gt;0",$G$2:G138,G138))</f>
        <v/>
      </c>
    </row>
    <row r="139">
      <c r="A139" s="9" t="n"/>
      <c r="B139" s="10" t="n"/>
      <c r="C139" s="10" t="n"/>
      <c r="D139" s="10" t="n"/>
      <c r="E139" s="10" t="n"/>
      <c r="F139" s="12" t="n"/>
      <c r="G139" s="13" t="n"/>
      <c r="H139" s="13" t="n"/>
      <c r="I139" s="13" t="n"/>
      <c r="J139" s="13" t="n"/>
      <c r="K139" s="13" t="n"/>
      <c r="L139" s="10" t="n"/>
      <c r="M139" s="10" t="n"/>
      <c r="N139" s="14">
        <f>IF(A139="","",WEEKNUM(A139,2))</f>
        <v/>
      </c>
      <c r="O139" s="15">
        <f>IF(OR(A139="",F139=""),"",LOOKUP(F139,Lists!$F$2:$F$5,Lists!$G$2:$G$5))</f>
        <v/>
      </c>
      <c r="P139" s="16">
        <f>IF(A139="","",SUM(H139:K139))</f>
        <v/>
      </c>
      <c r="Q139" s="17">
        <f>IF(A139="","",IFERROR(P139/G139,""))</f>
        <v/>
      </c>
      <c r="R139" s="14">
        <f>IF(OR(A139="",G139=""),"",COUNTIFS($N$2:$N$1000,"&gt;0",$G$2:$G$1000,"&gt;"&amp;G139)+COUNTIFS($N$2:N139,"&gt;0",$G$2:G139,G139))</f>
        <v/>
      </c>
    </row>
    <row r="140">
      <c r="A140" s="9" t="n"/>
      <c r="B140" s="10" t="n"/>
      <c r="C140" s="10" t="n"/>
      <c r="D140" s="10" t="n"/>
      <c r="E140" s="10" t="n"/>
      <c r="F140" s="12" t="n"/>
      <c r="G140" s="13" t="n"/>
      <c r="H140" s="13" t="n"/>
      <c r="I140" s="13" t="n"/>
      <c r="J140" s="13" t="n"/>
      <c r="K140" s="13" t="n"/>
      <c r="L140" s="10" t="n"/>
      <c r="M140" s="10" t="n"/>
      <c r="N140" s="14">
        <f>IF(A140="","",WEEKNUM(A140,2))</f>
        <v/>
      </c>
      <c r="O140" s="15">
        <f>IF(OR(A140="",F140=""),"",LOOKUP(F140,Lists!$F$2:$F$5,Lists!$G$2:$G$5))</f>
        <v/>
      </c>
      <c r="P140" s="16">
        <f>IF(A140="","",SUM(H140:K140))</f>
        <v/>
      </c>
      <c r="Q140" s="17">
        <f>IF(A140="","",IFERROR(P140/G140,""))</f>
        <v/>
      </c>
      <c r="R140" s="14">
        <f>IF(OR(A140="",G140=""),"",COUNTIFS($N$2:$N$1000,"&gt;0",$G$2:$G$1000,"&gt;"&amp;G140)+COUNTIFS($N$2:N140,"&gt;0",$G$2:G140,G140))</f>
        <v/>
      </c>
    </row>
    <row r="141">
      <c r="A141" s="9" t="n"/>
      <c r="B141" s="10" t="n"/>
      <c r="C141" s="10" t="n"/>
      <c r="D141" s="10" t="n"/>
      <c r="E141" s="10" t="n"/>
      <c r="F141" s="12" t="n"/>
      <c r="G141" s="13" t="n"/>
      <c r="H141" s="13" t="n"/>
      <c r="I141" s="13" t="n"/>
      <c r="J141" s="13" t="n"/>
      <c r="K141" s="13" t="n"/>
      <c r="L141" s="10" t="n"/>
      <c r="M141" s="10" t="n"/>
      <c r="N141" s="14">
        <f>IF(A141="","",WEEKNUM(A141,2))</f>
        <v/>
      </c>
      <c r="O141" s="15">
        <f>IF(OR(A141="",F141=""),"",LOOKUP(F141,Lists!$F$2:$F$5,Lists!$G$2:$G$5))</f>
        <v/>
      </c>
      <c r="P141" s="16">
        <f>IF(A141="","",SUM(H141:K141))</f>
        <v/>
      </c>
      <c r="Q141" s="17">
        <f>IF(A141="","",IFERROR(P141/G141,""))</f>
        <v/>
      </c>
      <c r="R141" s="14">
        <f>IF(OR(A141="",G141=""),"",COUNTIFS($N$2:$N$1000,"&gt;0",$G$2:$G$1000,"&gt;"&amp;G141)+COUNTIFS($N$2:N141,"&gt;0",$G$2:G141,G141))</f>
        <v/>
      </c>
    </row>
    <row r="142">
      <c r="A142" s="9" t="n"/>
      <c r="B142" s="10" t="n"/>
      <c r="C142" s="10" t="n"/>
      <c r="D142" s="10" t="n"/>
      <c r="E142" s="10" t="n"/>
      <c r="F142" s="12" t="n"/>
      <c r="G142" s="13" t="n"/>
      <c r="H142" s="13" t="n"/>
      <c r="I142" s="13" t="n"/>
      <c r="J142" s="13" t="n"/>
      <c r="K142" s="13" t="n"/>
      <c r="L142" s="10" t="n"/>
      <c r="M142" s="10" t="n"/>
      <c r="N142" s="14">
        <f>IF(A142="","",WEEKNUM(A142,2))</f>
        <v/>
      </c>
      <c r="O142" s="15">
        <f>IF(OR(A142="",F142=""),"",LOOKUP(F142,Lists!$F$2:$F$5,Lists!$G$2:$G$5))</f>
        <v/>
      </c>
      <c r="P142" s="16">
        <f>IF(A142="","",SUM(H142:K142))</f>
        <v/>
      </c>
      <c r="Q142" s="17">
        <f>IF(A142="","",IFERROR(P142/G142,""))</f>
        <v/>
      </c>
      <c r="R142" s="14">
        <f>IF(OR(A142="",G142=""),"",COUNTIFS($N$2:$N$1000,"&gt;0",$G$2:$G$1000,"&gt;"&amp;G142)+COUNTIFS($N$2:N142,"&gt;0",$G$2:G142,G142))</f>
        <v/>
      </c>
    </row>
    <row r="143">
      <c r="A143" s="9" t="n"/>
      <c r="B143" s="10" t="n"/>
      <c r="C143" s="10" t="n"/>
      <c r="D143" s="10" t="n"/>
      <c r="E143" s="10" t="n"/>
      <c r="F143" s="12" t="n"/>
      <c r="G143" s="13" t="n"/>
      <c r="H143" s="13" t="n"/>
      <c r="I143" s="13" t="n"/>
      <c r="J143" s="13" t="n"/>
      <c r="K143" s="13" t="n"/>
      <c r="L143" s="10" t="n"/>
      <c r="M143" s="10" t="n"/>
      <c r="N143" s="14">
        <f>IF(A143="","",WEEKNUM(A143,2))</f>
        <v/>
      </c>
      <c r="O143" s="15">
        <f>IF(OR(A143="",F143=""),"",LOOKUP(F143,Lists!$F$2:$F$5,Lists!$G$2:$G$5))</f>
        <v/>
      </c>
      <c r="P143" s="16">
        <f>IF(A143="","",SUM(H143:K143))</f>
        <v/>
      </c>
      <c r="Q143" s="17">
        <f>IF(A143="","",IFERROR(P143/G143,""))</f>
        <v/>
      </c>
      <c r="R143" s="14">
        <f>IF(OR(A143="",G143=""),"",COUNTIFS($N$2:$N$1000,"&gt;0",$G$2:$G$1000,"&gt;"&amp;G143)+COUNTIFS($N$2:N143,"&gt;0",$G$2:G143,G143))</f>
        <v/>
      </c>
    </row>
    <row r="144">
      <c r="A144" s="9" t="n"/>
      <c r="B144" s="10" t="n"/>
      <c r="C144" s="10" t="n"/>
      <c r="D144" s="10" t="n"/>
      <c r="E144" s="10" t="n"/>
      <c r="F144" s="12" t="n"/>
      <c r="G144" s="13" t="n"/>
      <c r="H144" s="13" t="n"/>
      <c r="I144" s="13" t="n"/>
      <c r="J144" s="13" t="n"/>
      <c r="K144" s="13" t="n"/>
      <c r="L144" s="10" t="n"/>
      <c r="M144" s="10" t="n"/>
      <c r="N144" s="14">
        <f>IF(A144="","",WEEKNUM(A144,2))</f>
        <v/>
      </c>
      <c r="O144" s="15">
        <f>IF(OR(A144="",F144=""),"",LOOKUP(F144,Lists!$F$2:$F$5,Lists!$G$2:$G$5))</f>
        <v/>
      </c>
      <c r="P144" s="16">
        <f>IF(A144="","",SUM(H144:K144))</f>
        <v/>
      </c>
      <c r="Q144" s="17">
        <f>IF(A144="","",IFERROR(P144/G144,""))</f>
        <v/>
      </c>
      <c r="R144" s="14">
        <f>IF(OR(A144="",G144=""),"",COUNTIFS($N$2:$N$1000,"&gt;0",$G$2:$G$1000,"&gt;"&amp;G144)+COUNTIFS($N$2:N144,"&gt;0",$G$2:G144,G144))</f>
        <v/>
      </c>
    </row>
    <row r="145">
      <c r="A145" s="9" t="n"/>
      <c r="B145" s="10" t="n"/>
      <c r="C145" s="10" t="n"/>
      <c r="D145" s="10" t="n"/>
      <c r="E145" s="10" t="n"/>
      <c r="F145" s="12" t="n"/>
      <c r="G145" s="13" t="n"/>
      <c r="H145" s="13" t="n"/>
      <c r="I145" s="13" t="n"/>
      <c r="J145" s="13" t="n"/>
      <c r="K145" s="13" t="n"/>
      <c r="L145" s="10" t="n"/>
      <c r="M145" s="10" t="n"/>
      <c r="N145" s="14">
        <f>IF(A145="","",WEEKNUM(A145,2))</f>
        <v/>
      </c>
      <c r="O145" s="15">
        <f>IF(OR(A145="",F145=""),"",LOOKUP(F145,Lists!$F$2:$F$5,Lists!$G$2:$G$5))</f>
        <v/>
      </c>
      <c r="P145" s="16">
        <f>IF(A145="","",SUM(H145:K145))</f>
        <v/>
      </c>
      <c r="Q145" s="17">
        <f>IF(A145="","",IFERROR(P145/G145,""))</f>
        <v/>
      </c>
      <c r="R145" s="14">
        <f>IF(OR(A145="",G145=""),"",COUNTIFS($N$2:$N$1000,"&gt;0",$G$2:$G$1000,"&gt;"&amp;G145)+COUNTIFS($N$2:N145,"&gt;0",$G$2:G145,G145))</f>
        <v/>
      </c>
    </row>
    <row r="146">
      <c r="A146" s="9" t="n"/>
      <c r="B146" s="10" t="n"/>
      <c r="C146" s="10" t="n"/>
      <c r="D146" s="10" t="n"/>
      <c r="E146" s="10" t="n"/>
      <c r="F146" s="12" t="n"/>
      <c r="G146" s="13" t="n"/>
      <c r="H146" s="13" t="n"/>
      <c r="I146" s="13" t="n"/>
      <c r="J146" s="13" t="n"/>
      <c r="K146" s="13" t="n"/>
      <c r="L146" s="10" t="n"/>
      <c r="M146" s="10" t="n"/>
      <c r="N146" s="14">
        <f>IF(A146="","",WEEKNUM(A146,2))</f>
        <v/>
      </c>
      <c r="O146" s="15">
        <f>IF(OR(A146="",F146=""),"",LOOKUP(F146,Lists!$F$2:$F$5,Lists!$G$2:$G$5))</f>
        <v/>
      </c>
      <c r="P146" s="16">
        <f>IF(A146="","",SUM(H146:K146))</f>
        <v/>
      </c>
      <c r="Q146" s="17">
        <f>IF(A146="","",IFERROR(P146/G146,""))</f>
        <v/>
      </c>
      <c r="R146" s="14">
        <f>IF(OR(A146="",G146=""),"",COUNTIFS($N$2:$N$1000,"&gt;0",$G$2:$G$1000,"&gt;"&amp;G146)+COUNTIFS($N$2:N146,"&gt;0",$G$2:G146,G146))</f>
        <v/>
      </c>
    </row>
    <row r="147">
      <c r="A147" s="9" t="n"/>
      <c r="B147" s="10" t="n"/>
      <c r="C147" s="10" t="n"/>
      <c r="D147" s="10" t="n"/>
      <c r="E147" s="10" t="n"/>
      <c r="F147" s="12" t="n"/>
      <c r="G147" s="13" t="n"/>
      <c r="H147" s="13" t="n"/>
      <c r="I147" s="13" t="n"/>
      <c r="J147" s="13" t="n"/>
      <c r="K147" s="13" t="n"/>
      <c r="L147" s="10" t="n"/>
      <c r="M147" s="10" t="n"/>
      <c r="N147" s="14">
        <f>IF(A147="","",WEEKNUM(A147,2))</f>
        <v/>
      </c>
      <c r="O147" s="15">
        <f>IF(OR(A147="",F147=""),"",LOOKUP(F147,Lists!$F$2:$F$5,Lists!$G$2:$G$5))</f>
        <v/>
      </c>
      <c r="P147" s="16">
        <f>IF(A147="","",SUM(H147:K147))</f>
        <v/>
      </c>
      <c r="Q147" s="17">
        <f>IF(A147="","",IFERROR(P147/G147,""))</f>
        <v/>
      </c>
      <c r="R147" s="14">
        <f>IF(OR(A147="",G147=""),"",COUNTIFS($N$2:$N$1000,"&gt;0",$G$2:$G$1000,"&gt;"&amp;G147)+COUNTIFS($N$2:N147,"&gt;0",$G$2:G147,G147))</f>
        <v/>
      </c>
    </row>
    <row r="148">
      <c r="A148" s="9" t="n"/>
      <c r="B148" s="10" t="n"/>
      <c r="C148" s="10" t="n"/>
      <c r="D148" s="10" t="n"/>
      <c r="E148" s="10" t="n"/>
      <c r="F148" s="12" t="n"/>
      <c r="G148" s="13" t="n"/>
      <c r="H148" s="13" t="n"/>
      <c r="I148" s="13" t="n"/>
      <c r="J148" s="13" t="n"/>
      <c r="K148" s="13" t="n"/>
      <c r="L148" s="10" t="n"/>
      <c r="M148" s="10" t="n"/>
      <c r="N148" s="14">
        <f>IF(A148="","",WEEKNUM(A148,2))</f>
        <v/>
      </c>
      <c r="O148" s="15">
        <f>IF(OR(A148="",F148=""),"",LOOKUP(F148,Lists!$F$2:$F$5,Lists!$G$2:$G$5))</f>
        <v/>
      </c>
      <c r="P148" s="16">
        <f>IF(A148="","",SUM(H148:K148))</f>
        <v/>
      </c>
      <c r="Q148" s="17">
        <f>IF(A148="","",IFERROR(P148/G148,""))</f>
        <v/>
      </c>
      <c r="R148" s="14">
        <f>IF(OR(A148="",G148=""),"",COUNTIFS($N$2:$N$1000,"&gt;0",$G$2:$G$1000,"&gt;"&amp;G148)+COUNTIFS($N$2:N148,"&gt;0",$G$2:G148,G148))</f>
        <v/>
      </c>
    </row>
    <row r="149">
      <c r="A149" s="9" t="n"/>
      <c r="B149" s="10" t="n"/>
      <c r="C149" s="10" t="n"/>
      <c r="D149" s="10" t="n"/>
      <c r="E149" s="10" t="n"/>
      <c r="F149" s="12" t="n"/>
      <c r="G149" s="13" t="n"/>
      <c r="H149" s="13" t="n"/>
      <c r="I149" s="13" t="n"/>
      <c r="J149" s="13" t="n"/>
      <c r="K149" s="13" t="n"/>
      <c r="L149" s="10" t="n"/>
      <c r="M149" s="10" t="n"/>
      <c r="N149" s="14">
        <f>IF(A149="","",WEEKNUM(A149,2))</f>
        <v/>
      </c>
      <c r="O149" s="15">
        <f>IF(OR(A149="",F149=""),"",LOOKUP(F149,Lists!$F$2:$F$5,Lists!$G$2:$G$5))</f>
        <v/>
      </c>
      <c r="P149" s="16">
        <f>IF(A149="","",SUM(H149:K149))</f>
        <v/>
      </c>
      <c r="Q149" s="17">
        <f>IF(A149="","",IFERROR(P149/G149,""))</f>
        <v/>
      </c>
      <c r="R149" s="14">
        <f>IF(OR(A149="",G149=""),"",COUNTIFS($N$2:$N$1000,"&gt;0",$G$2:$G$1000,"&gt;"&amp;G149)+COUNTIFS($N$2:N149,"&gt;0",$G$2:G149,G149))</f>
        <v/>
      </c>
    </row>
    <row r="150">
      <c r="A150" s="9" t="n"/>
      <c r="B150" s="10" t="n"/>
      <c r="C150" s="10" t="n"/>
      <c r="D150" s="10" t="n"/>
      <c r="E150" s="10" t="n"/>
      <c r="F150" s="12" t="n"/>
      <c r="G150" s="13" t="n"/>
      <c r="H150" s="13" t="n"/>
      <c r="I150" s="13" t="n"/>
      <c r="J150" s="13" t="n"/>
      <c r="K150" s="13" t="n"/>
      <c r="L150" s="10" t="n"/>
      <c r="M150" s="10" t="n"/>
      <c r="N150" s="14">
        <f>IF(A150="","",WEEKNUM(A150,2))</f>
        <v/>
      </c>
      <c r="O150" s="15">
        <f>IF(OR(A150="",F150=""),"",LOOKUP(F150,Lists!$F$2:$F$5,Lists!$G$2:$G$5))</f>
        <v/>
      </c>
      <c r="P150" s="16">
        <f>IF(A150="","",SUM(H150:K150))</f>
        <v/>
      </c>
      <c r="Q150" s="17">
        <f>IF(A150="","",IFERROR(P150/G150,""))</f>
        <v/>
      </c>
      <c r="R150" s="14">
        <f>IF(OR(A150="",G150=""),"",COUNTIFS($N$2:$N$1000,"&gt;0",$G$2:$G$1000,"&gt;"&amp;G150)+COUNTIFS($N$2:N150,"&gt;0",$G$2:G150,G150))</f>
        <v/>
      </c>
    </row>
    <row r="151">
      <c r="A151" s="9" t="n"/>
      <c r="B151" s="10" t="n"/>
      <c r="C151" s="10" t="n"/>
      <c r="D151" s="10" t="n"/>
      <c r="E151" s="10" t="n"/>
      <c r="F151" s="12" t="n"/>
      <c r="G151" s="13" t="n"/>
      <c r="H151" s="13" t="n"/>
      <c r="I151" s="13" t="n"/>
      <c r="J151" s="13" t="n"/>
      <c r="K151" s="13" t="n"/>
      <c r="L151" s="10" t="n"/>
      <c r="M151" s="10" t="n"/>
      <c r="N151" s="14">
        <f>IF(A151="","",WEEKNUM(A151,2))</f>
        <v/>
      </c>
      <c r="O151" s="15">
        <f>IF(OR(A151="",F151=""),"",LOOKUP(F151,Lists!$F$2:$F$5,Lists!$G$2:$G$5))</f>
        <v/>
      </c>
      <c r="P151" s="16">
        <f>IF(A151="","",SUM(H151:K151))</f>
        <v/>
      </c>
      <c r="Q151" s="17">
        <f>IF(A151="","",IFERROR(P151/G151,""))</f>
        <v/>
      </c>
      <c r="R151" s="14">
        <f>IF(OR(A151="",G151=""),"",COUNTIFS($N$2:$N$1000,"&gt;0",$G$2:$G$1000,"&gt;"&amp;G151)+COUNTIFS($N$2:N151,"&gt;0",$G$2:G151,G151))</f>
        <v/>
      </c>
    </row>
    <row r="152">
      <c r="A152" s="9" t="n"/>
      <c r="B152" s="10" t="n"/>
      <c r="C152" s="10" t="n"/>
      <c r="D152" s="10" t="n"/>
      <c r="E152" s="10" t="n"/>
      <c r="F152" s="12" t="n"/>
      <c r="G152" s="13" t="n"/>
      <c r="H152" s="13" t="n"/>
      <c r="I152" s="13" t="n"/>
      <c r="J152" s="13" t="n"/>
      <c r="K152" s="13" t="n"/>
      <c r="L152" s="10" t="n"/>
      <c r="M152" s="10" t="n"/>
      <c r="N152" s="14">
        <f>IF(A152="","",WEEKNUM(A152,2))</f>
        <v/>
      </c>
      <c r="O152" s="15">
        <f>IF(OR(A152="",F152=""),"",LOOKUP(F152,Lists!$F$2:$F$5,Lists!$G$2:$G$5))</f>
        <v/>
      </c>
      <c r="P152" s="16">
        <f>IF(A152="","",SUM(H152:K152))</f>
        <v/>
      </c>
      <c r="Q152" s="17">
        <f>IF(A152="","",IFERROR(P152/G152,""))</f>
        <v/>
      </c>
      <c r="R152" s="14">
        <f>IF(OR(A152="",G152=""),"",COUNTIFS($N$2:$N$1000,"&gt;0",$G$2:$G$1000,"&gt;"&amp;G152)+COUNTIFS($N$2:N152,"&gt;0",$G$2:G152,G152))</f>
        <v/>
      </c>
    </row>
    <row r="153">
      <c r="A153" s="9" t="n"/>
      <c r="B153" s="10" t="n"/>
      <c r="C153" s="10" t="n"/>
      <c r="D153" s="10" t="n"/>
      <c r="E153" s="10" t="n"/>
      <c r="F153" s="12" t="n"/>
      <c r="G153" s="13" t="n"/>
      <c r="H153" s="13" t="n"/>
      <c r="I153" s="13" t="n"/>
      <c r="J153" s="13" t="n"/>
      <c r="K153" s="13" t="n"/>
      <c r="L153" s="10" t="n"/>
      <c r="M153" s="10" t="n"/>
      <c r="N153" s="14">
        <f>IF(A153="","",WEEKNUM(A153,2))</f>
        <v/>
      </c>
      <c r="O153" s="15">
        <f>IF(OR(A153="",F153=""),"",LOOKUP(F153,Lists!$F$2:$F$5,Lists!$G$2:$G$5))</f>
        <v/>
      </c>
      <c r="P153" s="16">
        <f>IF(A153="","",SUM(H153:K153))</f>
        <v/>
      </c>
      <c r="Q153" s="17">
        <f>IF(A153="","",IFERROR(P153/G153,""))</f>
        <v/>
      </c>
      <c r="R153" s="14">
        <f>IF(OR(A153="",G153=""),"",COUNTIFS($N$2:$N$1000,"&gt;0",$G$2:$G$1000,"&gt;"&amp;G153)+COUNTIFS($N$2:N153,"&gt;0",$G$2:G153,G153))</f>
        <v/>
      </c>
    </row>
    <row r="154">
      <c r="A154" s="9" t="n"/>
      <c r="B154" s="10" t="n"/>
      <c r="C154" s="10" t="n"/>
      <c r="D154" s="10" t="n"/>
      <c r="E154" s="10" t="n"/>
      <c r="F154" s="12" t="n"/>
      <c r="G154" s="13" t="n"/>
      <c r="H154" s="13" t="n"/>
      <c r="I154" s="13" t="n"/>
      <c r="J154" s="13" t="n"/>
      <c r="K154" s="13" t="n"/>
      <c r="L154" s="10" t="n"/>
      <c r="M154" s="10" t="n"/>
      <c r="N154" s="14">
        <f>IF(A154="","",WEEKNUM(A154,2))</f>
        <v/>
      </c>
      <c r="O154" s="15">
        <f>IF(OR(A154="",F154=""),"",LOOKUP(F154,Lists!$F$2:$F$5,Lists!$G$2:$G$5))</f>
        <v/>
      </c>
      <c r="P154" s="16">
        <f>IF(A154="","",SUM(H154:K154))</f>
        <v/>
      </c>
      <c r="Q154" s="17">
        <f>IF(A154="","",IFERROR(P154/G154,""))</f>
        <v/>
      </c>
      <c r="R154" s="14">
        <f>IF(OR(A154="",G154=""),"",COUNTIFS($N$2:$N$1000,"&gt;0",$G$2:$G$1000,"&gt;"&amp;G154)+COUNTIFS($N$2:N154,"&gt;0",$G$2:G154,G154))</f>
        <v/>
      </c>
    </row>
    <row r="155">
      <c r="A155" s="9" t="n"/>
      <c r="B155" s="10" t="n"/>
      <c r="C155" s="10" t="n"/>
      <c r="D155" s="10" t="n"/>
      <c r="E155" s="10" t="n"/>
      <c r="F155" s="12" t="n"/>
      <c r="G155" s="13" t="n"/>
      <c r="H155" s="13" t="n"/>
      <c r="I155" s="13" t="n"/>
      <c r="J155" s="13" t="n"/>
      <c r="K155" s="13" t="n"/>
      <c r="L155" s="10" t="n"/>
      <c r="M155" s="10" t="n"/>
      <c r="N155" s="14">
        <f>IF(A155="","",WEEKNUM(A155,2))</f>
        <v/>
      </c>
      <c r="O155" s="15">
        <f>IF(OR(A155="",F155=""),"",LOOKUP(F155,Lists!$F$2:$F$5,Lists!$G$2:$G$5))</f>
        <v/>
      </c>
      <c r="P155" s="16">
        <f>IF(A155="","",SUM(H155:K155))</f>
        <v/>
      </c>
      <c r="Q155" s="17">
        <f>IF(A155="","",IFERROR(P155/G155,""))</f>
        <v/>
      </c>
      <c r="R155" s="14">
        <f>IF(OR(A155="",G155=""),"",COUNTIFS($N$2:$N$1000,"&gt;0",$G$2:$G$1000,"&gt;"&amp;G155)+COUNTIFS($N$2:N155,"&gt;0",$G$2:G155,G155))</f>
        <v/>
      </c>
    </row>
    <row r="156">
      <c r="A156" s="9" t="n"/>
      <c r="B156" s="10" t="n"/>
      <c r="C156" s="10" t="n"/>
      <c r="D156" s="10" t="n"/>
      <c r="E156" s="10" t="n"/>
      <c r="F156" s="12" t="n"/>
      <c r="G156" s="13" t="n"/>
      <c r="H156" s="13" t="n"/>
      <c r="I156" s="13" t="n"/>
      <c r="J156" s="13" t="n"/>
      <c r="K156" s="13" t="n"/>
      <c r="L156" s="10" t="n"/>
      <c r="M156" s="10" t="n"/>
      <c r="N156" s="14">
        <f>IF(A156="","",WEEKNUM(A156,2))</f>
        <v/>
      </c>
      <c r="O156" s="15">
        <f>IF(OR(A156="",F156=""),"",LOOKUP(F156,Lists!$F$2:$F$5,Lists!$G$2:$G$5))</f>
        <v/>
      </c>
      <c r="P156" s="16">
        <f>IF(A156="","",SUM(H156:K156))</f>
        <v/>
      </c>
      <c r="Q156" s="17">
        <f>IF(A156="","",IFERROR(P156/G156,""))</f>
        <v/>
      </c>
      <c r="R156" s="14">
        <f>IF(OR(A156="",G156=""),"",COUNTIFS($N$2:$N$1000,"&gt;0",$G$2:$G$1000,"&gt;"&amp;G156)+COUNTIFS($N$2:N156,"&gt;0",$G$2:G156,G156))</f>
        <v/>
      </c>
    </row>
    <row r="157">
      <c r="A157" s="9" t="n"/>
      <c r="B157" s="10" t="n"/>
      <c r="C157" s="10" t="n"/>
      <c r="D157" s="10" t="n"/>
      <c r="E157" s="10" t="n"/>
      <c r="F157" s="12" t="n"/>
      <c r="G157" s="13" t="n"/>
      <c r="H157" s="13" t="n"/>
      <c r="I157" s="13" t="n"/>
      <c r="J157" s="13" t="n"/>
      <c r="K157" s="13" t="n"/>
      <c r="L157" s="10" t="n"/>
      <c r="M157" s="10" t="n"/>
      <c r="N157" s="14">
        <f>IF(A157="","",WEEKNUM(A157,2))</f>
        <v/>
      </c>
      <c r="O157" s="15">
        <f>IF(OR(A157="",F157=""),"",LOOKUP(F157,Lists!$F$2:$F$5,Lists!$G$2:$G$5))</f>
        <v/>
      </c>
      <c r="P157" s="16">
        <f>IF(A157="","",SUM(H157:K157))</f>
        <v/>
      </c>
      <c r="Q157" s="17">
        <f>IF(A157="","",IFERROR(P157/G157,""))</f>
        <v/>
      </c>
      <c r="R157" s="14">
        <f>IF(OR(A157="",G157=""),"",COUNTIFS($N$2:$N$1000,"&gt;0",$G$2:$G$1000,"&gt;"&amp;G157)+COUNTIFS($N$2:N157,"&gt;0",$G$2:G157,G157))</f>
        <v/>
      </c>
    </row>
    <row r="158">
      <c r="A158" s="9" t="n"/>
      <c r="B158" s="10" t="n"/>
      <c r="C158" s="10" t="n"/>
      <c r="D158" s="10" t="n"/>
      <c r="E158" s="10" t="n"/>
      <c r="F158" s="12" t="n"/>
      <c r="G158" s="13" t="n"/>
      <c r="H158" s="13" t="n"/>
      <c r="I158" s="13" t="n"/>
      <c r="J158" s="13" t="n"/>
      <c r="K158" s="13" t="n"/>
      <c r="L158" s="10" t="n"/>
      <c r="M158" s="10" t="n"/>
      <c r="N158" s="14">
        <f>IF(A158="","",WEEKNUM(A158,2))</f>
        <v/>
      </c>
      <c r="O158" s="15">
        <f>IF(OR(A158="",F158=""),"",LOOKUP(F158,Lists!$F$2:$F$5,Lists!$G$2:$G$5))</f>
        <v/>
      </c>
      <c r="P158" s="16">
        <f>IF(A158="","",SUM(H158:K158))</f>
        <v/>
      </c>
      <c r="Q158" s="17">
        <f>IF(A158="","",IFERROR(P158/G158,""))</f>
        <v/>
      </c>
      <c r="R158" s="14">
        <f>IF(OR(A158="",G158=""),"",COUNTIFS($N$2:$N$1000,"&gt;0",$G$2:$G$1000,"&gt;"&amp;G158)+COUNTIFS($N$2:N158,"&gt;0",$G$2:G158,G158))</f>
        <v/>
      </c>
    </row>
    <row r="159">
      <c r="A159" s="9" t="n"/>
      <c r="B159" s="10" t="n"/>
      <c r="C159" s="10" t="n"/>
      <c r="D159" s="10" t="n"/>
      <c r="E159" s="10" t="n"/>
      <c r="F159" s="12" t="n"/>
      <c r="G159" s="13" t="n"/>
      <c r="H159" s="13" t="n"/>
      <c r="I159" s="13" t="n"/>
      <c r="J159" s="13" t="n"/>
      <c r="K159" s="13" t="n"/>
      <c r="L159" s="10" t="n"/>
      <c r="M159" s="10" t="n"/>
      <c r="N159" s="14">
        <f>IF(A159="","",WEEKNUM(A159,2))</f>
        <v/>
      </c>
      <c r="O159" s="15">
        <f>IF(OR(A159="",F159=""),"",LOOKUP(F159,Lists!$F$2:$F$5,Lists!$G$2:$G$5))</f>
        <v/>
      </c>
      <c r="P159" s="16">
        <f>IF(A159="","",SUM(H159:K159))</f>
        <v/>
      </c>
      <c r="Q159" s="17">
        <f>IF(A159="","",IFERROR(P159/G159,""))</f>
        <v/>
      </c>
      <c r="R159" s="14">
        <f>IF(OR(A159="",G159=""),"",COUNTIFS($N$2:$N$1000,"&gt;0",$G$2:$G$1000,"&gt;"&amp;G159)+COUNTIFS($N$2:N159,"&gt;0",$G$2:G159,G159))</f>
        <v/>
      </c>
    </row>
    <row r="160">
      <c r="A160" s="9" t="n"/>
      <c r="B160" s="10" t="n"/>
      <c r="C160" s="10" t="n"/>
      <c r="D160" s="10" t="n"/>
      <c r="E160" s="10" t="n"/>
      <c r="F160" s="12" t="n"/>
      <c r="G160" s="13" t="n"/>
      <c r="H160" s="13" t="n"/>
      <c r="I160" s="13" t="n"/>
      <c r="J160" s="13" t="n"/>
      <c r="K160" s="13" t="n"/>
      <c r="L160" s="10" t="n"/>
      <c r="M160" s="10" t="n"/>
      <c r="N160" s="14">
        <f>IF(A160="","",WEEKNUM(A160,2))</f>
        <v/>
      </c>
      <c r="O160" s="15">
        <f>IF(OR(A160="",F160=""),"",LOOKUP(F160,Lists!$F$2:$F$5,Lists!$G$2:$G$5))</f>
        <v/>
      </c>
      <c r="P160" s="16">
        <f>IF(A160="","",SUM(H160:K160))</f>
        <v/>
      </c>
      <c r="Q160" s="17">
        <f>IF(A160="","",IFERROR(P160/G160,""))</f>
        <v/>
      </c>
      <c r="R160" s="14">
        <f>IF(OR(A160="",G160=""),"",COUNTIFS($N$2:$N$1000,"&gt;0",$G$2:$G$1000,"&gt;"&amp;G160)+COUNTIFS($N$2:N160,"&gt;0",$G$2:G160,G160))</f>
        <v/>
      </c>
    </row>
    <row r="161">
      <c r="A161" s="9" t="n"/>
      <c r="B161" s="10" t="n"/>
      <c r="C161" s="10" t="n"/>
      <c r="D161" s="10" t="n"/>
      <c r="E161" s="10" t="n"/>
      <c r="F161" s="12" t="n"/>
      <c r="G161" s="13" t="n"/>
      <c r="H161" s="13" t="n"/>
      <c r="I161" s="13" t="n"/>
      <c r="J161" s="13" t="n"/>
      <c r="K161" s="13" t="n"/>
      <c r="L161" s="10" t="n"/>
      <c r="M161" s="10" t="n"/>
      <c r="N161" s="14">
        <f>IF(A161="","",WEEKNUM(A161,2))</f>
        <v/>
      </c>
      <c r="O161" s="15">
        <f>IF(OR(A161="",F161=""),"",LOOKUP(F161,Lists!$F$2:$F$5,Lists!$G$2:$G$5))</f>
        <v/>
      </c>
      <c r="P161" s="16">
        <f>IF(A161="","",SUM(H161:K161))</f>
        <v/>
      </c>
      <c r="Q161" s="17">
        <f>IF(A161="","",IFERROR(P161/G161,""))</f>
        <v/>
      </c>
      <c r="R161" s="14">
        <f>IF(OR(A161="",G161=""),"",COUNTIFS($N$2:$N$1000,"&gt;0",$G$2:$G$1000,"&gt;"&amp;G161)+COUNTIFS($N$2:N161,"&gt;0",$G$2:G161,G161))</f>
        <v/>
      </c>
    </row>
    <row r="162">
      <c r="A162" s="9" t="n"/>
      <c r="B162" s="10" t="n"/>
      <c r="C162" s="10" t="n"/>
      <c r="D162" s="10" t="n"/>
      <c r="E162" s="10" t="n"/>
      <c r="F162" s="12" t="n"/>
      <c r="G162" s="13" t="n"/>
      <c r="H162" s="13" t="n"/>
      <c r="I162" s="13" t="n"/>
      <c r="J162" s="13" t="n"/>
      <c r="K162" s="13" t="n"/>
      <c r="L162" s="10" t="n"/>
      <c r="M162" s="10" t="n"/>
      <c r="N162" s="14">
        <f>IF(A162="","",WEEKNUM(A162,2))</f>
        <v/>
      </c>
      <c r="O162" s="15">
        <f>IF(OR(A162="",F162=""),"",LOOKUP(F162,Lists!$F$2:$F$5,Lists!$G$2:$G$5))</f>
        <v/>
      </c>
      <c r="P162" s="16">
        <f>IF(A162="","",SUM(H162:K162))</f>
        <v/>
      </c>
      <c r="Q162" s="17">
        <f>IF(A162="","",IFERROR(P162/G162,""))</f>
        <v/>
      </c>
      <c r="R162" s="14">
        <f>IF(OR(A162="",G162=""),"",COUNTIFS($N$2:$N$1000,"&gt;0",$G$2:$G$1000,"&gt;"&amp;G162)+COUNTIFS($N$2:N162,"&gt;0",$G$2:G162,G162))</f>
        <v/>
      </c>
    </row>
    <row r="163">
      <c r="A163" s="9" t="n"/>
      <c r="B163" s="10" t="n"/>
      <c r="C163" s="10" t="n"/>
      <c r="D163" s="10" t="n"/>
      <c r="E163" s="10" t="n"/>
      <c r="F163" s="12" t="n"/>
      <c r="G163" s="13" t="n"/>
      <c r="H163" s="13" t="n"/>
      <c r="I163" s="13" t="n"/>
      <c r="J163" s="13" t="n"/>
      <c r="K163" s="13" t="n"/>
      <c r="L163" s="10" t="n"/>
      <c r="M163" s="10" t="n"/>
      <c r="N163" s="14">
        <f>IF(A163="","",WEEKNUM(A163,2))</f>
        <v/>
      </c>
      <c r="O163" s="15">
        <f>IF(OR(A163="",F163=""),"",LOOKUP(F163,Lists!$F$2:$F$5,Lists!$G$2:$G$5))</f>
        <v/>
      </c>
      <c r="P163" s="16">
        <f>IF(A163="","",SUM(H163:K163))</f>
        <v/>
      </c>
      <c r="Q163" s="17">
        <f>IF(A163="","",IFERROR(P163/G163,""))</f>
        <v/>
      </c>
      <c r="R163" s="14">
        <f>IF(OR(A163="",G163=""),"",COUNTIFS($N$2:$N$1000,"&gt;0",$G$2:$G$1000,"&gt;"&amp;G163)+COUNTIFS($N$2:N163,"&gt;0",$G$2:G163,G163))</f>
        <v/>
      </c>
    </row>
    <row r="164">
      <c r="A164" s="9" t="n"/>
      <c r="B164" s="10" t="n"/>
      <c r="C164" s="10" t="n"/>
      <c r="D164" s="10" t="n"/>
      <c r="E164" s="10" t="n"/>
      <c r="F164" s="12" t="n"/>
      <c r="G164" s="13" t="n"/>
      <c r="H164" s="13" t="n"/>
      <c r="I164" s="13" t="n"/>
      <c r="J164" s="13" t="n"/>
      <c r="K164" s="13" t="n"/>
      <c r="L164" s="10" t="n"/>
      <c r="M164" s="10" t="n"/>
      <c r="N164" s="14">
        <f>IF(A164="","",WEEKNUM(A164,2))</f>
        <v/>
      </c>
      <c r="O164" s="15">
        <f>IF(OR(A164="",F164=""),"",LOOKUP(F164,Lists!$F$2:$F$5,Lists!$G$2:$G$5))</f>
        <v/>
      </c>
      <c r="P164" s="16">
        <f>IF(A164="","",SUM(H164:K164))</f>
        <v/>
      </c>
      <c r="Q164" s="17">
        <f>IF(A164="","",IFERROR(P164/G164,""))</f>
        <v/>
      </c>
      <c r="R164" s="14">
        <f>IF(OR(A164="",G164=""),"",COUNTIFS($N$2:$N$1000,"&gt;0",$G$2:$G$1000,"&gt;"&amp;G164)+COUNTIFS($N$2:N164,"&gt;0",$G$2:G164,G164))</f>
        <v/>
      </c>
    </row>
    <row r="165">
      <c r="A165" s="9" t="n"/>
      <c r="B165" s="10" t="n"/>
      <c r="C165" s="10" t="n"/>
      <c r="D165" s="10" t="n"/>
      <c r="E165" s="10" t="n"/>
      <c r="F165" s="12" t="n"/>
      <c r="G165" s="13" t="n"/>
      <c r="H165" s="13" t="n"/>
      <c r="I165" s="13" t="n"/>
      <c r="J165" s="13" t="n"/>
      <c r="K165" s="13" t="n"/>
      <c r="L165" s="10" t="n"/>
      <c r="M165" s="10" t="n"/>
      <c r="N165" s="14">
        <f>IF(A165="","",WEEKNUM(A165,2))</f>
        <v/>
      </c>
      <c r="O165" s="15">
        <f>IF(OR(A165="",F165=""),"",LOOKUP(F165,Lists!$F$2:$F$5,Lists!$G$2:$G$5))</f>
        <v/>
      </c>
      <c r="P165" s="16">
        <f>IF(A165="","",SUM(H165:K165))</f>
        <v/>
      </c>
      <c r="Q165" s="17">
        <f>IF(A165="","",IFERROR(P165/G165,""))</f>
        <v/>
      </c>
      <c r="R165" s="14">
        <f>IF(OR(A165="",G165=""),"",COUNTIFS($N$2:$N$1000,"&gt;0",$G$2:$G$1000,"&gt;"&amp;G165)+COUNTIFS($N$2:N165,"&gt;0",$G$2:G165,G165))</f>
        <v/>
      </c>
    </row>
    <row r="166">
      <c r="A166" s="9" t="n"/>
      <c r="B166" s="10" t="n"/>
      <c r="C166" s="10" t="n"/>
      <c r="D166" s="10" t="n"/>
      <c r="E166" s="10" t="n"/>
      <c r="F166" s="12" t="n"/>
      <c r="G166" s="13" t="n"/>
      <c r="H166" s="13" t="n"/>
      <c r="I166" s="13" t="n"/>
      <c r="J166" s="13" t="n"/>
      <c r="K166" s="13" t="n"/>
      <c r="L166" s="10" t="n"/>
      <c r="M166" s="10" t="n"/>
      <c r="N166" s="14">
        <f>IF(A166="","",WEEKNUM(A166,2))</f>
        <v/>
      </c>
      <c r="O166" s="15">
        <f>IF(OR(A166="",F166=""),"",LOOKUP(F166,Lists!$F$2:$F$5,Lists!$G$2:$G$5))</f>
        <v/>
      </c>
      <c r="P166" s="16">
        <f>IF(A166="","",SUM(H166:K166))</f>
        <v/>
      </c>
      <c r="Q166" s="17">
        <f>IF(A166="","",IFERROR(P166/G166,""))</f>
        <v/>
      </c>
      <c r="R166" s="14">
        <f>IF(OR(A166="",G166=""),"",COUNTIFS($N$2:$N$1000,"&gt;0",$G$2:$G$1000,"&gt;"&amp;G166)+COUNTIFS($N$2:N166,"&gt;0",$G$2:G166,G166))</f>
        <v/>
      </c>
    </row>
    <row r="167">
      <c r="A167" s="9" t="n"/>
      <c r="B167" s="10" t="n"/>
      <c r="C167" s="10" t="n"/>
      <c r="D167" s="10" t="n"/>
      <c r="E167" s="10" t="n"/>
      <c r="F167" s="12" t="n"/>
      <c r="G167" s="13" t="n"/>
      <c r="H167" s="13" t="n"/>
      <c r="I167" s="13" t="n"/>
      <c r="J167" s="13" t="n"/>
      <c r="K167" s="13" t="n"/>
      <c r="L167" s="10" t="n"/>
      <c r="M167" s="10" t="n"/>
      <c r="N167" s="14">
        <f>IF(A167="","",WEEKNUM(A167,2))</f>
        <v/>
      </c>
      <c r="O167" s="15">
        <f>IF(OR(A167="",F167=""),"",LOOKUP(F167,Lists!$F$2:$F$5,Lists!$G$2:$G$5))</f>
        <v/>
      </c>
      <c r="P167" s="16">
        <f>IF(A167="","",SUM(H167:K167))</f>
        <v/>
      </c>
      <c r="Q167" s="17">
        <f>IF(A167="","",IFERROR(P167/G167,""))</f>
        <v/>
      </c>
      <c r="R167" s="14">
        <f>IF(OR(A167="",G167=""),"",COUNTIFS($N$2:$N$1000,"&gt;0",$G$2:$G$1000,"&gt;"&amp;G167)+COUNTIFS($N$2:N167,"&gt;0",$G$2:G167,G167))</f>
        <v/>
      </c>
    </row>
    <row r="168">
      <c r="A168" s="9" t="n"/>
      <c r="B168" s="10" t="n"/>
      <c r="C168" s="10" t="n"/>
      <c r="D168" s="10" t="n"/>
      <c r="E168" s="10" t="n"/>
      <c r="F168" s="12" t="n"/>
      <c r="G168" s="13" t="n"/>
      <c r="H168" s="13" t="n"/>
      <c r="I168" s="13" t="n"/>
      <c r="J168" s="13" t="n"/>
      <c r="K168" s="13" t="n"/>
      <c r="L168" s="10" t="n"/>
      <c r="M168" s="10" t="n"/>
      <c r="N168" s="14">
        <f>IF(A168="","",WEEKNUM(A168,2))</f>
        <v/>
      </c>
      <c r="O168" s="15">
        <f>IF(OR(A168="",F168=""),"",LOOKUP(F168,Lists!$F$2:$F$5,Lists!$G$2:$G$5))</f>
        <v/>
      </c>
      <c r="P168" s="16">
        <f>IF(A168="","",SUM(H168:K168))</f>
        <v/>
      </c>
      <c r="Q168" s="17">
        <f>IF(A168="","",IFERROR(P168/G168,""))</f>
        <v/>
      </c>
      <c r="R168" s="14">
        <f>IF(OR(A168="",G168=""),"",COUNTIFS($N$2:$N$1000,"&gt;0",$G$2:$G$1000,"&gt;"&amp;G168)+COUNTIFS($N$2:N168,"&gt;0",$G$2:G168,G168))</f>
        <v/>
      </c>
    </row>
    <row r="169">
      <c r="A169" s="9" t="n"/>
      <c r="B169" s="10" t="n"/>
      <c r="C169" s="10" t="n"/>
      <c r="D169" s="10" t="n"/>
      <c r="E169" s="10" t="n"/>
      <c r="F169" s="12" t="n"/>
      <c r="G169" s="13" t="n"/>
      <c r="H169" s="13" t="n"/>
      <c r="I169" s="13" t="n"/>
      <c r="J169" s="13" t="n"/>
      <c r="K169" s="13" t="n"/>
      <c r="L169" s="10" t="n"/>
      <c r="M169" s="10" t="n"/>
      <c r="N169" s="14">
        <f>IF(A169="","",WEEKNUM(A169,2))</f>
        <v/>
      </c>
      <c r="O169" s="15">
        <f>IF(OR(A169="",F169=""),"",LOOKUP(F169,Lists!$F$2:$F$5,Lists!$G$2:$G$5))</f>
        <v/>
      </c>
      <c r="P169" s="16">
        <f>IF(A169="","",SUM(H169:K169))</f>
        <v/>
      </c>
      <c r="Q169" s="17">
        <f>IF(A169="","",IFERROR(P169/G169,""))</f>
        <v/>
      </c>
      <c r="R169" s="14">
        <f>IF(OR(A169="",G169=""),"",COUNTIFS($N$2:$N$1000,"&gt;0",$G$2:$G$1000,"&gt;"&amp;G169)+COUNTIFS($N$2:N169,"&gt;0",$G$2:G169,G169))</f>
        <v/>
      </c>
    </row>
    <row r="170">
      <c r="A170" s="9" t="n"/>
      <c r="B170" s="10" t="n"/>
      <c r="C170" s="10" t="n"/>
      <c r="D170" s="10" t="n"/>
      <c r="E170" s="10" t="n"/>
      <c r="F170" s="12" t="n"/>
      <c r="G170" s="13" t="n"/>
      <c r="H170" s="13" t="n"/>
      <c r="I170" s="13" t="n"/>
      <c r="J170" s="13" t="n"/>
      <c r="K170" s="13" t="n"/>
      <c r="L170" s="10" t="n"/>
      <c r="M170" s="10" t="n"/>
      <c r="N170" s="14">
        <f>IF(A170="","",WEEKNUM(A170,2))</f>
        <v/>
      </c>
      <c r="O170" s="15">
        <f>IF(OR(A170="",F170=""),"",LOOKUP(F170,Lists!$F$2:$F$5,Lists!$G$2:$G$5))</f>
        <v/>
      </c>
      <c r="P170" s="16">
        <f>IF(A170="","",SUM(H170:K170))</f>
        <v/>
      </c>
      <c r="Q170" s="17">
        <f>IF(A170="","",IFERROR(P170/G170,""))</f>
        <v/>
      </c>
      <c r="R170" s="14">
        <f>IF(OR(A170="",G170=""),"",COUNTIFS($N$2:$N$1000,"&gt;0",$G$2:$G$1000,"&gt;"&amp;G170)+COUNTIFS($N$2:N170,"&gt;0",$G$2:G170,G170))</f>
        <v/>
      </c>
    </row>
    <row r="171">
      <c r="A171" s="9" t="n"/>
      <c r="B171" s="10" t="n"/>
      <c r="C171" s="10" t="n"/>
      <c r="D171" s="10" t="n"/>
      <c r="E171" s="10" t="n"/>
      <c r="F171" s="12" t="n"/>
      <c r="G171" s="13" t="n"/>
      <c r="H171" s="13" t="n"/>
      <c r="I171" s="13" t="n"/>
      <c r="J171" s="13" t="n"/>
      <c r="K171" s="13" t="n"/>
      <c r="L171" s="10" t="n"/>
      <c r="M171" s="10" t="n"/>
      <c r="N171" s="14">
        <f>IF(A171="","",WEEKNUM(A171,2))</f>
        <v/>
      </c>
      <c r="O171" s="15">
        <f>IF(OR(A171="",F171=""),"",LOOKUP(F171,Lists!$F$2:$F$5,Lists!$G$2:$G$5))</f>
        <v/>
      </c>
      <c r="P171" s="16">
        <f>IF(A171="","",SUM(H171:K171))</f>
        <v/>
      </c>
      <c r="Q171" s="17">
        <f>IF(A171="","",IFERROR(P171/G171,""))</f>
        <v/>
      </c>
      <c r="R171" s="14">
        <f>IF(OR(A171="",G171=""),"",COUNTIFS($N$2:$N$1000,"&gt;0",$G$2:$G$1000,"&gt;"&amp;G171)+COUNTIFS($N$2:N171,"&gt;0",$G$2:G171,G171))</f>
        <v/>
      </c>
    </row>
    <row r="172">
      <c r="A172" s="9" t="n"/>
      <c r="B172" s="10" t="n"/>
      <c r="C172" s="10" t="n"/>
      <c r="D172" s="10" t="n"/>
      <c r="E172" s="10" t="n"/>
      <c r="F172" s="12" t="n"/>
      <c r="G172" s="13" t="n"/>
      <c r="H172" s="13" t="n"/>
      <c r="I172" s="13" t="n"/>
      <c r="J172" s="13" t="n"/>
      <c r="K172" s="13" t="n"/>
      <c r="L172" s="10" t="n"/>
      <c r="M172" s="10" t="n"/>
      <c r="N172" s="14">
        <f>IF(A172="","",WEEKNUM(A172,2))</f>
        <v/>
      </c>
      <c r="O172" s="15">
        <f>IF(OR(A172="",F172=""),"",LOOKUP(F172,Lists!$F$2:$F$5,Lists!$G$2:$G$5))</f>
        <v/>
      </c>
      <c r="P172" s="16">
        <f>IF(A172="","",SUM(H172:K172))</f>
        <v/>
      </c>
      <c r="Q172" s="17">
        <f>IF(A172="","",IFERROR(P172/G172,""))</f>
        <v/>
      </c>
      <c r="R172" s="14">
        <f>IF(OR(A172="",G172=""),"",COUNTIFS($N$2:$N$1000,"&gt;0",$G$2:$G$1000,"&gt;"&amp;G172)+COUNTIFS($N$2:N172,"&gt;0",$G$2:G172,G172))</f>
        <v/>
      </c>
    </row>
    <row r="173">
      <c r="A173" s="9" t="n"/>
      <c r="B173" s="10" t="n"/>
      <c r="C173" s="10" t="n"/>
      <c r="D173" s="10" t="n"/>
      <c r="E173" s="10" t="n"/>
      <c r="F173" s="12" t="n"/>
      <c r="G173" s="13" t="n"/>
      <c r="H173" s="13" t="n"/>
      <c r="I173" s="13" t="n"/>
      <c r="J173" s="13" t="n"/>
      <c r="K173" s="13" t="n"/>
      <c r="L173" s="10" t="n"/>
      <c r="M173" s="10" t="n"/>
      <c r="N173" s="14">
        <f>IF(A173="","",WEEKNUM(A173,2))</f>
        <v/>
      </c>
      <c r="O173" s="15">
        <f>IF(OR(A173="",F173=""),"",LOOKUP(F173,Lists!$F$2:$F$5,Lists!$G$2:$G$5))</f>
        <v/>
      </c>
      <c r="P173" s="16">
        <f>IF(A173="","",SUM(H173:K173))</f>
        <v/>
      </c>
      <c r="Q173" s="17">
        <f>IF(A173="","",IFERROR(P173/G173,""))</f>
        <v/>
      </c>
      <c r="R173" s="14">
        <f>IF(OR(A173="",G173=""),"",COUNTIFS($N$2:$N$1000,"&gt;0",$G$2:$G$1000,"&gt;"&amp;G173)+COUNTIFS($N$2:N173,"&gt;0",$G$2:G173,G173))</f>
        <v/>
      </c>
    </row>
    <row r="174">
      <c r="A174" s="9" t="n"/>
      <c r="B174" s="10" t="n"/>
      <c r="C174" s="10" t="n"/>
      <c r="D174" s="10" t="n"/>
      <c r="E174" s="10" t="n"/>
      <c r="F174" s="12" t="n"/>
      <c r="G174" s="13" t="n"/>
      <c r="H174" s="13" t="n"/>
      <c r="I174" s="13" t="n"/>
      <c r="J174" s="13" t="n"/>
      <c r="K174" s="13" t="n"/>
      <c r="L174" s="10" t="n"/>
      <c r="M174" s="10" t="n"/>
      <c r="N174" s="14">
        <f>IF(A174="","",WEEKNUM(A174,2))</f>
        <v/>
      </c>
      <c r="O174" s="15">
        <f>IF(OR(A174="",F174=""),"",LOOKUP(F174,Lists!$F$2:$F$5,Lists!$G$2:$G$5))</f>
        <v/>
      </c>
      <c r="P174" s="16">
        <f>IF(A174="","",SUM(H174:K174))</f>
        <v/>
      </c>
      <c r="Q174" s="17">
        <f>IF(A174="","",IFERROR(P174/G174,""))</f>
        <v/>
      </c>
      <c r="R174" s="14">
        <f>IF(OR(A174="",G174=""),"",COUNTIFS($N$2:$N$1000,"&gt;0",$G$2:$G$1000,"&gt;"&amp;G174)+COUNTIFS($N$2:N174,"&gt;0",$G$2:G174,G174))</f>
        <v/>
      </c>
    </row>
    <row r="175">
      <c r="A175" s="9" t="n"/>
      <c r="B175" s="10" t="n"/>
      <c r="C175" s="10" t="n"/>
      <c r="D175" s="10" t="n"/>
      <c r="E175" s="10" t="n"/>
      <c r="F175" s="12" t="n"/>
      <c r="G175" s="13" t="n"/>
      <c r="H175" s="13" t="n"/>
      <c r="I175" s="13" t="n"/>
      <c r="J175" s="13" t="n"/>
      <c r="K175" s="13" t="n"/>
      <c r="L175" s="10" t="n"/>
      <c r="M175" s="10" t="n"/>
      <c r="N175" s="14">
        <f>IF(A175="","",WEEKNUM(A175,2))</f>
        <v/>
      </c>
      <c r="O175" s="15">
        <f>IF(OR(A175="",F175=""),"",LOOKUP(F175,Lists!$F$2:$F$5,Lists!$G$2:$G$5))</f>
        <v/>
      </c>
      <c r="P175" s="16">
        <f>IF(A175="","",SUM(H175:K175))</f>
        <v/>
      </c>
      <c r="Q175" s="17">
        <f>IF(A175="","",IFERROR(P175/G175,""))</f>
        <v/>
      </c>
      <c r="R175" s="14">
        <f>IF(OR(A175="",G175=""),"",COUNTIFS($N$2:$N$1000,"&gt;0",$G$2:$G$1000,"&gt;"&amp;G175)+COUNTIFS($N$2:N175,"&gt;0",$G$2:G175,G175))</f>
        <v/>
      </c>
    </row>
    <row r="176">
      <c r="A176" s="9" t="n"/>
      <c r="B176" s="10" t="n"/>
      <c r="C176" s="10" t="n"/>
      <c r="D176" s="10" t="n"/>
      <c r="E176" s="10" t="n"/>
      <c r="F176" s="12" t="n"/>
      <c r="G176" s="13" t="n"/>
      <c r="H176" s="13" t="n"/>
      <c r="I176" s="13" t="n"/>
      <c r="J176" s="13" t="n"/>
      <c r="K176" s="13" t="n"/>
      <c r="L176" s="10" t="n"/>
      <c r="M176" s="10" t="n"/>
      <c r="N176" s="14">
        <f>IF(A176="","",WEEKNUM(A176,2))</f>
        <v/>
      </c>
      <c r="O176" s="15">
        <f>IF(OR(A176="",F176=""),"",LOOKUP(F176,Lists!$F$2:$F$5,Lists!$G$2:$G$5))</f>
        <v/>
      </c>
      <c r="P176" s="16">
        <f>IF(A176="","",SUM(H176:K176))</f>
        <v/>
      </c>
      <c r="Q176" s="17">
        <f>IF(A176="","",IFERROR(P176/G176,""))</f>
        <v/>
      </c>
      <c r="R176" s="14">
        <f>IF(OR(A176="",G176=""),"",COUNTIFS($N$2:$N$1000,"&gt;0",$G$2:$G$1000,"&gt;"&amp;G176)+COUNTIFS($N$2:N176,"&gt;0",$G$2:G176,G176))</f>
        <v/>
      </c>
    </row>
    <row r="177">
      <c r="A177" s="9" t="n"/>
      <c r="B177" s="10" t="n"/>
      <c r="C177" s="10" t="n"/>
      <c r="D177" s="10" t="n"/>
      <c r="E177" s="10" t="n"/>
      <c r="F177" s="12" t="n"/>
      <c r="G177" s="13" t="n"/>
      <c r="H177" s="13" t="n"/>
      <c r="I177" s="13" t="n"/>
      <c r="J177" s="13" t="n"/>
      <c r="K177" s="13" t="n"/>
      <c r="L177" s="10" t="n"/>
      <c r="M177" s="10" t="n"/>
      <c r="N177" s="14">
        <f>IF(A177="","",WEEKNUM(A177,2))</f>
        <v/>
      </c>
      <c r="O177" s="15">
        <f>IF(OR(A177="",F177=""),"",LOOKUP(F177,Lists!$F$2:$F$5,Lists!$G$2:$G$5))</f>
        <v/>
      </c>
      <c r="P177" s="16">
        <f>IF(A177="","",SUM(H177:K177))</f>
        <v/>
      </c>
      <c r="Q177" s="17">
        <f>IF(A177="","",IFERROR(P177/G177,""))</f>
        <v/>
      </c>
      <c r="R177" s="14">
        <f>IF(OR(A177="",G177=""),"",COUNTIFS($N$2:$N$1000,"&gt;0",$G$2:$G$1000,"&gt;"&amp;G177)+COUNTIFS($N$2:N177,"&gt;0",$G$2:G177,G177))</f>
        <v/>
      </c>
    </row>
    <row r="178">
      <c r="A178" s="9" t="n"/>
      <c r="B178" s="10" t="n"/>
      <c r="C178" s="10" t="n"/>
      <c r="D178" s="10" t="n"/>
      <c r="E178" s="10" t="n"/>
      <c r="F178" s="12" t="n"/>
      <c r="G178" s="13" t="n"/>
      <c r="H178" s="13" t="n"/>
      <c r="I178" s="13" t="n"/>
      <c r="J178" s="13" t="n"/>
      <c r="K178" s="13" t="n"/>
      <c r="L178" s="10" t="n"/>
      <c r="M178" s="10" t="n"/>
      <c r="N178" s="14">
        <f>IF(A178="","",WEEKNUM(A178,2))</f>
        <v/>
      </c>
      <c r="O178" s="15">
        <f>IF(OR(A178="",F178=""),"",LOOKUP(F178,Lists!$F$2:$F$5,Lists!$G$2:$G$5))</f>
        <v/>
      </c>
      <c r="P178" s="16">
        <f>IF(A178="","",SUM(H178:K178))</f>
        <v/>
      </c>
      <c r="Q178" s="17">
        <f>IF(A178="","",IFERROR(P178/G178,""))</f>
        <v/>
      </c>
      <c r="R178" s="14">
        <f>IF(OR(A178="",G178=""),"",COUNTIFS($N$2:$N$1000,"&gt;0",$G$2:$G$1000,"&gt;"&amp;G178)+COUNTIFS($N$2:N178,"&gt;0",$G$2:G178,G178))</f>
        <v/>
      </c>
    </row>
    <row r="179">
      <c r="A179" s="9" t="n"/>
      <c r="B179" s="10" t="n"/>
      <c r="C179" s="10" t="n"/>
      <c r="D179" s="10" t="n"/>
      <c r="E179" s="10" t="n"/>
      <c r="F179" s="12" t="n"/>
      <c r="G179" s="13" t="n"/>
      <c r="H179" s="13" t="n"/>
      <c r="I179" s="13" t="n"/>
      <c r="J179" s="13" t="n"/>
      <c r="K179" s="13" t="n"/>
      <c r="L179" s="10" t="n"/>
      <c r="M179" s="10" t="n"/>
      <c r="N179" s="14">
        <f>IF(A179="","",WEEKNUM(A179,2))</f>
        <v/>
      </c>
      <c r="O179" s="15">
        <f>IF(OR(A179="",F179=""),"",LOOKUP(F179,Lists!$F$2:$F$5,Lists!$G$2:$G$5))</f>
        <v/>
      </c>
      <c r="P179" s="16">
        <f>IF(A179="","",SUM(H179:K179))</f>
        <v/>
      </c>
      <c r="Q179" s="17">
        <f>IF(A179="","",IFERROR(P179/G179,""))</f>
        <v/>
      </c>
      <c r="R179" s="14">
        <f>IF(OR(A179="",G179=""),"",COUNTIFS($N$2:$N$1000,"&gt;0",$G$2:$G$1000,"&gt;"&amp;G179)+COUNTIFS($N$2:N179,"&gt;0",$G$2:G179,G179))</f>
        <v/>
      </c>
    </row>
    <row r="180">
      <c r="A180" s="9" t="n"/>
      <c r="B180" s="10" t="n"/>
      <c r="C180" s="10" t="n"/>
      <c r="D180" s="10" t="n"/>
      <c r="E180" s="10" t="n"/>
      <c r="F180" s="12" t="n"/>
      <c r="G180" s="13" t="n"/>
      <c r="H180" s="13" t="n"/>
      <c r="I180" s="13" t="n"/>
      <c r="J180" s="13" t="n"/>
      <c r="K180" s="13" t="n"/>
      <c r="L180" s="10" t="n"/>
      <c r="M180" s="10" t="n"/>
      <c r="N180" s="14">
        <f>IF(A180="","",WEEKNUM(A180,2))</f>
        <v/>
      </c>
      <c r="O180" s="15">
        <f>IF(OR(A180="",F180=""),"",LOOKUP(F180,Lists!$F$2:$F$5,Lists!$G$2:$G$5))</f>
        <v/>
      </c>
      <c r="P180" s="16">
        <f>IF(A180="","",SUM(H180:K180))</f>
        <v/>
      </c>
      <c r="Q180" s="17">
        <f>IF(A180="","",IFERROR(P180/G180,""))</f>
        <v/>
      </c>
      <c r="R180" s="14">
        <f>IF(OR(A180="",G180=""),"",COUNTIFS($N$2:$N$1000,"&gt;0",$G$2:$G$1000,"&gt;"&amp;G180)+COUNTIFS($N$2:N180,"&gt;0",$G$2:G180,G180))</f>
        <v/>
      </c>
    </row>
    <row r="181">
      <c r="A181" s="9" t="n"/>
      <c r="B181" s="10" t="n"/>
      <c r="C181" s="10" t="n"/>
      <c r="D181" s="10" t="n"/>
      <c r="E181" s="10" t="n"/>
      <c r="F181" s="12" t="n"/>
      <c r="G181" s="13" t="n"/>
      <c r="H181" s="13" t="n"/>
      <c r="I181" s="13" t="n"/>
      <c r="J181" s="13" t="n"/>
      <c r="K181" s="13" t="n"/>
      <c r="L181" s="10" t="n"/>
      <c r="M181" s="10" t="n"/>
      <c r="N181" s="14">
        <f>IF(A181="","",WEEKNUM(A181,2))</f>
        <v/>
      </c>
      <c r="O181" s="15">
        <f>IF(OR(A181="",F181=""),"",LOOKUP(F181,Lists!$F$2:$F$5,Lists!$G$2:$G$5))</f>
        <v/>
      </c>
      <c r="P181" s="16">
        <f>IF(A181="","",SUM(H181:K181))</f>
        <v/>
      </c>
      <c r="Q181" s="17">
        <f>IF(A181="","",IFERROR(P181/G181,""))</f>
        <v/>
      </c>
      <c r="R181" s="14">
        <f>IF(OR(A181="",G181=""),"",COUNTIFS($N$2:$N$1000,"&gt;0",$G$2:$G$1000,"&gt;"&amp;G181)+COUNTIFS($N$2:N181,"&gt;0",$G$2:G181,G181))</f>
        <v/>
      </c>
    </row>
    <row r="182">
      <c r="A182" s="9" t="n"/>
      <c r="B182" s="10" t="n"/>
      <c r="C182" s="10" t="n"/>
      <c r="D182" s="10" t="n"/>
      <c r="E182" s="10" t="n"/>
      <c r="F182" s="12" t="n"/>
      <c r="G182" s="13" t="n"/>
      <c r="H182" s="13" t="n"/>
      <c r="I182" s="13" t="n"/>
      <c r="J182" s="13" t="n"/>
      <c r="K182" s="13" t="n"/>
      <c r="L182" s="10" t="n"/>
      <c r="M182" s="10" t="n"/>
      <c r="N182" s="14">
        <f>IF(A182="","",WEEKNUM(A182,2))</f>
        <v/>
      </c>
      <c r="O182" s="15">
        <f>IF(OR(A182="",F182=""),"",LOOKUP(F182,Lists!$F$2:$F$5,Lists!$G$2:$G$5))</f>
        <v/>
      </c>
      <c r="P182" s="16">
        <f>IF(A182="","",SUM(H182:K182))</f>
        <v/>
      </c>
      <c r="Q182" s="17">
        <f>IF(A182="","",IFERROR(P182/G182,""))</f>
        <v/>
      </c>
      <c r="R182" s="14">
        <f>IF(OR(A182="",G182=""),"",COUNTIFS($N$2:$N$1000,"&gt;0",$G$2:$G$1000,"&gt;"&amp;G182)+COUNTIFS($N$2:N182,"&gt;0",$G$2:G182,G182))</f>
        <v/>
      </c>
    </row>
    <row r="183">
      <c r="A183" s="9" t="n"/>
      <c r="B183" s="10" t="n"/>
      <c r="C183" s="10" t="n"/>
      <c r="D183" s="10" t="n"/>
      <c r="E183" s="10" t="n"/>
      <c r="F183" s="12" t="n"/>
      <c r="G183" s="13" t="n"/>
      <c r="H183" s="13" t="n"/>
      <c r="I183" s="13" t="n"/>
      <c r="J183" s="13" t="n"/>
      <c r="K183" s="13" t="n"/>
      <c r="L183" s="10" t="n"/>
      <c r="M183" s="10" t="n"/>
      <c r="N183" s="14">
        <f>IF(A183="","",WEEKNUM(A183,2))</f>
        <v/>
      </c>
      <c r="O183" s="15">
        <f>IF(OR(A183="",F183=""),"",LOOKUP(F183,Lists!$F$2:$F$5,Lists!$G$2:$G$5))</f>
        <v/>
      </c>
      <c r="P183" s="16">
        <f>IF(A183="","",SUM(H183:K183))</f>
        <v/>
      </c>
      <c r="Q183" s="17">
        <f>IF(A183="","",IFERROR(P183/G183,""))</f>
        <v/>
      </c>
      <c r="R183" s="14">
        <f>IF(OR(A183="",G183=""),"",COUNTIFS($N$2:$N$1000,"&gt;0",$G$2:$G$1000,"&gt;"&amp;G183)+COUNTIFS($N$2:N183,"&gt;0",$G$2:G183,G183))</f>
        <v/>
      </c>
    </row>
    <row r="184">
      <c r="A184" s="9" t="n"/>
      <c r="B184" s="10" t="n"/>
      <c r="C184" s="10" t="n"/>
      <c r="D184" s="10" t="n"/>
      <c r="E184" s="10" t="n"/>
      <c r="F184" s="12" t="n"/>
      <c r="G184" s="13" t="n"/>
      <c r="H184" s="13" t="n"/>
      <c r="I184" s="13" t="n"/>
      <c r="J184" s="13" t="n"/>
      <c r="K184" s="13" t="n"/>
      <c r="L184" s="10" t="n"/>
      <c r="M184" s="10" t="n"/>
      <c r="N184" s="14">
        <f>IF(A184="","",WEEKNUM(A184,2))</f>
        <v/>
      </c>
      <c r="O184" s="15">
        <f>IF(OR(A184="",F184=""),"",LOOKUP(F184,Lists!$F$2:$F$5,Lists!$G$2:$G$5))</f>
        <v/>
      </c>
      <c r="P184" s="16">
        <f>IF(A184="","",SUM(H184:K184))</f>
        <v/>
      </c>
      <c r="Q184" s="17">
        <f>IF(A184="","",IFERROR(P184/G184,""))</f>
        <v/>
      </c>
      <c r="R184" s="14">
        <f>IF(OR(A184="",G184=""),"",COUNTIFS($N$2:$N$1000,"&gt;0",$G$2:$G$1000,"&gt;"&amp;G184)+COUNTIFS($N$2:N184,"&gt;0",$G$2:G184,G184))</f>
        <v/>
      </c>
    </row>
    <row r="185">
      <c r="A185" s="9" t="n"/>
      <c r="B185" s="10" t="n"/>
      <c r="C185" s="10" t="n"/>
      <c r="D185" s="10" t="n"/>
      <c r="E185" s="10" t="n"/>
      <c r="F185" s="12" t="n"/>
      <c r="G185" s="13" t="n"/>
      <c r="H185" s="13" t="n"/>
      <c r="I185" s="13" t="n"/>
      <c r="J185" s="13" t="n"/>
      <c r="K185" s="13" t="n"/>
      <c r="L185" s="10" t="n"/>
      <c r="M185" s="10" t="n"/>
      <c r="N185" s="14">
        <f>IF(A185="","",WEEKNUM(A185,2))</f>
        <v/>
      </c>
      <c r="O185" s="15">
        <f>IF(OR(A185="",F185=""),"",LOOKUP(F185,Lists!$F$2:$F$5,Lists!$G$2:$G$5))</f>
        <v/>
      </c>
      <c r="P185" s="16">
        <f>IF(A185="","",SUM(H185:K185))</f>
        <v/>
      </c>
      <c r="Q185" s="17">
        <f>IF(A185="","",IFERROR(P185/G185,""))</f>
        <v/>
      </c>
      <c r="R185" s="14">
        <f>IF(OR(A185="",G185=""),"",COUNTIFS($N$2:$N$1000,"&gt;0",$G$2:$G$1000,"&gt;"&amp;G185)+COUNTIFS($N$2:N185,"&gt;0",$G$2:G185,G185))</f>
        <v/>
      </c>
    </row>
    <row r="186">
      <c r="A186" s="9" t="n"/>
      <c r="B186" s="10" t="n"/>
      <c r="C186" s="10" t="n"/>
      <c r="D186" s="10" t="n"/>
      <c r="E186" s="10" t="n"/>
      <c r="F186" s="12" t="n"/>
      <c r="G186" s="13" t="n"/>
      <c r="H186" s="13" t="n"/>
      <c r="I186" s="13" t="n"/>
      <c r="J186" s="13" t="n"/>
      <c r="K186" s="13" t="n"/>
      <c r="L186" s="10" t="n"/>
      <c r="M186" s="10" t="n"/>
      <c r="N186" s="14">
        <f>IF(A186="","",WEEKNUM(A186,2))</f>
        <v/>
      </c>
      <c r="O186" s="15">
        <f>IF(OR(A186="",F186=""),"",LOOKUP(F186,Lists!$F$2:$F$5,Lists!$G$2:$G$5))</f>
        <v/>
      </c>
      <c r="P186" s="16">
        <f>IF(A186="","",SUM(H186:K186))</f>
        <v/>
      </c>
      <c r="Q186" s="17">
        <f>IF(A186="","",IFERROR(P186/G186,""))</f>
        <v/>
      </c>
      <c r="R186" s="14">
        <f>IF(OR(A186="",G186=""),"",COUNTIFS($N$2:$N$1000,"&gt;0",$G$2:$G$1000,"&gt;"&amp;G186)+COUNTIFS($N$2:N186,"&gt;0",$G$2:G186,G186))</f>
        <v/>
      </c>
    </row>
    <row r="187">
      <c r="A187" s="9" t="n"/>
      <c r="B187" s="10" t="n"/>
      <c r="C187" s="10" t="n"/>
      <c r="D187" s="10" t="n"/>
      <c r="E187" s="10" t="n"/>
      <c r="F187" s="12" t="n"/>
      <c r="G187" s="13" t="n"/>
      <c r="H187" s="13" t="n"/>
      <c r="I187" s="13" t="n"/>
      <c r="J187" s="13" t="n"/>
      <c r="K187" s="13" t="n"/>
      <c r="L187" s="10" t="n"/>
      <c r="M187" s="10" t="n"/>
      <c r="N187" s="14">
        <f>IF(A187="","",WEEKNUM(A187,2))</f>
        <v/>
      </c>
      <c r="O187" s="15">
        <f>IF(OR(A187="",F187=""),"",LOOKUP(F187,Lists!$F$2:$F$5,Lists!$G$2:$G$5))</f>
        <v/>
      </c>
      <c r="P187" s="16">
        <f>IF(A187="","",SUM(H187:K187))</f>
        <v/>
      </c>
      <c r="Q187" s="17">
        <f>IF(A187="","",IFERROR(P187/G187,""))</f>
        <v/>
      </c>
      <c r="R187" s="14">
        <f>IF(OR(A187="",G187=""),"",COUNTIFS($N$2:$N$1000,"&gt;0",$G$2:$G$1000,"&gt;"&amp;G187)+COUNTIFS($N$2:N187,"&gt;0",$G$2:G187,G187))</f>
        <v/>
      </c>
    </row>
    <row r="188">
      <c r="A188" s="9" t="n"/>
      <c r="B188" s="10" t="n"/>
      <c r="C188" s="10" t="n"/>
      <c r="D188" s="10" t="n"/>
      <c r="E188" s="10" t="n"/>
      <c r="F188" s="12" t="n"/>
      <c r="G188" s="13" t="n"/>
      <c r="H188" s="13" t="n"/>
      <c r="I188" s="13" t="n"/>
      <c r="J188" s="13" t="n"/>
      <c r="K188" s="13" t="n"/>
      <c r="L188" s="10" t="n"/>
      <c r="M188" s="10" t="n"/>
      <c r="N188" s="14">
        <f>IF(A188="","",WEEKNUM(A188,2))</f>
        <v/>
      </c>
      <c r="O188" s="15">
        <f>IF(OR(A188="",F188=""),"",LOOKUP(F188,Lists!$F$2:$F$5,Lists!$G$2:$G$5))</f>
        <v/>
      </c>
      <c r="P188" s="16">
        <f>IF(A188="","",SUM(H188:K188))</f>
        <v/>
      </c>
      <c r="Q188" s="17">
        <f>IF(A188="","",IFERROR(P188/G188,""))</f>
        <v/>
      </c>
      <c r="R188" s="14">
        <f>IF(OR(A188="",G188=""),"",COUNTIFS($N$2:$N$1000,"&gt;0",$G$2:$G$1000,"&gt;"&amp;G188)+COUNTIFS($N$2:N188,"&gt;0",$G$2:G188,G188))</f>
        <v/>
      </c>
    </row>
    <row r="189">
      <c r="A189" s="9" t="n"/>
      <c r="B189" s="10" t="n"/>
      <c r="C189" s="10" t="n"/>
      <c r="D189" s="10" t="n"/>
      <c r="E189" s="10" t="n"/>
      <c r="F189" s="12" t="n"/>
      <c r="G189" s="13" t="n"/>
      <c r="H189" s="13" t="n"/>
      <c r="I189" s="13" t="n"/>
      <c r="J189" s="13" t="n"/>
      <c r="K189" s="13" t="n"/>
      <c r="L189" s="10" t="n"/>
      <c r="M189" s="10" t="n"/>
      <c r="N189" s="14">
        <f>IF(A189="","",WEEKNUM(A189,2))</f>
        <v/>
      </c>
      <c r="O189" s="15">
        <f>IF(OR(A189="",F189=""),"",LOOKUP(F189,Lists!$F$2:$F$5,Lists!$G$2:$G$5))</f>
        <v/>
      </c>
      <c r="P189" s="16">
        <f>IF(A189="","",SUM(H189:K189))</f>
        <v/>
      </c>
      <c r="Q189" s="17">
        <f>IF(A189="","",IFERROR(P189/G189,""))</f>
        <v/>
      </c>
      <c r="R189" s="14">
        <f>IF(OR(A189="",G189=""),"",COUNTIFS($N$2:$N$1000,"&gt;0",$G$2:$G$1000,"&gt;"&amp;G189)+COUNTIFS($N$2:N189,"&gt;0",$G$2:G189,G189))</f>
        <v/>
      </c>
    </row>
    <row r="190">
      <c r="A190" s="9" t="n"/>
      <c r="B190" s="10" t="n"/>
      <c r="C190" s="10" t="n"/>
      <c r="D190" s="10" t="n"/>
      <c r="E190" s="10" t="n"/>
      <c r="F190" s="12" t="n"/>
      <c r="G190" s="13" t="n"/>
      <c r="H190" s="13" t="n"/>
      <c r="I190" s="13" t="n"/>
      <c r="J190" s="13" t="n"/>
      <c r="K190" s="13" t="n"/>
      <c r="L190" s="10" t="n"/>
      <c r="M190" s="10" t="n"/>
      <c r="N190" s="14">
        <f>IF(A190="","",WEEKNUM(A190,2))</f>
        <v/>
      </c>
      <c r="O190" s="15">
        <f>IF(OR(A190="",F190=""),"",LOOKUP(F190,Lists!$F$2:$F$5,Lists!$G$2:$G$5))</f>
        <v/>
      </c>
      <c r="P190" s="16">
        <f>IF(A190="","",SUM(H190:K190))</f>
        <v/>
      </c>
      <c r="Q190" s="17">
        <f>IF(A190="","",IFERROR(P190/G190,""))</f>
        <v/>
      </c>
      <c r="R190" s="14">
        <f>IF(OR(A190="",G190=""),"",COUNTIFS($N$2:$N$1000,"&gt;0",$G$2:$G$1000,"&gt;"&amp;G190)+COUNTIFS($N$2:N190,"&gt;0",$G$2:G190,G190))</f>
        <v/>
      </c>
    </row>
    <row r="191">
      <c r="A191" s="9" t="n"/>
      <c r="B191" s="10" t="n"/>
      <c r="C191" s="10" t="n"/>
      <c r="D191" s="10" t="n"/>
      <c r="E191" s="10" t="n"/>
      <c r="F191" s="12" t="n"/>
      <c r="G191" s="13" t="n"/>
      <c r="H191" s="13" t="n"/>
      <c r="I191" s="13" t="n"/>
      <c r="J191" s="13" t="n"/>
      <c r="K191" s="13" t="n"/>
      <c r="L191" s="10" t="n"/>
      <c r="M191" s="10" t="n"/>
      <c r="N191" s="14">
        <f>IF(A191="","",WEEKNUM(A191,2))</f>
        <v/>
      </c>
      <c r="O191" s="15">
        <f>IF(OR(A191="",F191=""),"",LOOKUP(F191,Lists!$F$2:$F$5,Lists!$G$2:$G$5))</f>
        <v/>
      </c>
      <c r="P191" s="16">
        <f>IF(A191="","",SUM(H191:K191))</f>
        <v/>
      </c>
      <c r="Q191" s="17">
        <f>IF(A191="","",IFERROR(P191/G191,""))</f>
        <v/>
      </c>
      <c r="R191" s="14">
        <f>IF(OR(A191="",G191=""),"",COUNTIFS($N$2:$N$1000,"&gt;0",$G$2:$G$1000,"&gt;"&amp;G191)+COUNTIFS($N$2:N191,"&gt;0",$G$2:G191,G191))</f>
        <v/>
      </c>
    </row>
    <row r="192">
      <c r="A192" s="9" t="n"/>
      <c r="B192" s="10" t="n"/>
      <c r="C192" s="10" t="n"/>
      <c r="D192" s="10" t="n"/>
      <c r="E192" s="10" t="n"/>
      <c r="F192" s="12" t="n"/>
      <c r="G192" s="13" t="n"/>
      <c r="H192" s="13" t="n"/>
      <c r="I192" s="13" t="n"/>
      <c r="J192" s="13" t="n"/>
      <c r="K192" s="13" t="n"/>
      <c r="L192" s="10" t="n"/>
      <c r="M192" s="10" t="n"/>
      <c r="N192" s="14">
        <f>IF(A192="","",WEEKNUM(A192,2))</f>
        <v/>
      </c>
      <c r="O192" s="15">
        <f>IF(OR(A192="",F192=""),"",LOOKUP(F192,Lists!$F$2:$F$5,Lists!$G$2:$G$5))</f>
        <v/>
      </c>
      <c r="P192" s="16">
        <f>IF(A192="","",SUM(H192:K192))</f>
        <v/>
      </c>
      <c r="Q192" s="17">
        <f>IF(A192="","",IFERROR(P192/G192,""))</f>
        <v/>
      </c>
      <c r="R192" s="14">
        <f>IF(OR(A192="",G192=""),"",COUNTIFS($N$2:$N$1000,"&gt;0",$G$2:$G$1000,"&gt;"&amp;G192)+COUNTIFS($N$2:N192,"&gt;0",$G$2:G192,G192))</f>
        <v/>
      </c>
    </row>
    <row r="193">
      <c r="A193" s="9" t="n"/>
      <c r="B193" s="10" t="n"/>
      <c r="C193" s="10" t="n"/>
      <c r="D193" s="10" t="n"/>
      <c r="E193" s="10" t="n"/>
      <c r="F193" s="12" t="n"/>
      <c r="G193" s="13" t="n"/>
      <c r="H193" s="13" t="n"/>
      <c r="I193" s="13" t="n"/>
      <c r="J193" s="13" t="n"/>
      <c r="K193" s="13" t="n"/>
      <c r="L193" s="10" t="n"/>
      <c r="M193" s="10" t="n"/>
      <c r="N193" s="14">
        <f>IF(A193="","",WEEKNUM(A193,2))</f>
        <v/>
      </c>
      <c r="O193" s="15">
        <f>IF(OR(A193="",F193=""),"",LOOKUP(F193,Lists!$F$2:$F$5,Lists!$G$2:$G$5))</f>
        <v/>
      </c>
      <c r="P193" s="16">
        <f>IF(A193="","",SUM(H193:K193))</f>
        <v/>
      </c>
      <c r="Q193" s="17">
        <f>IF(A193="","",IFERROR(P193/G193,""))</f>
        <v/>
      </c>
      <c r="R193" s="14">
        <f>IF(OR(A193="",G193=""),"",COUNTIFS($N$2:$N$1000,"&gt;0",$G$2:$G$1000,"&gt;"&amp;G193)+COUNTIFS($N$2:N193,"&gt;0",$G$2:G193,G193))</f>
        <v/>
      </c>
    </row>
    <row r="194">
      <c r="A194" s="9" t="n"/>
      <c r="B194" s="10" t="n"/>
      <c r="C194" s="10" t="n"/>
      <c r="D194" s="10" t="n"/>
      <c r="E194" s="10" t="n"/>
      <c r="F194" s="12" t="n"/>
      <c r="G194" s="13" t="n"/>
      <c r="H194" s="13" t="n"/>
      <c r="I194" s="13" t="n"/>
      <c r="J194" s="13" t="n"/>
      <c r="K194" s="13" t="n"/>
      <c r="L194" s="10" t="n"/>
      <c r="M194" s="10" t="n"/>
      <c r="N194" s="14">
        <f>IF(A194="","",WEEKNUM(A194,2))</f>
        <v/>
      </c>
      <c r="O194" s="15">
        <f>IF(OR(A194="",F194=""),"",LOOKUP(F194,Lists!$F$2:$F$5,Lists!$G$2:$G$5))</f>
        <v/>
      </c>
      <c r="P194" s="16">
        <f>IF(A194="","",SUM(H194:K194))</f>
        <v/>
      </c>
      <c r="Q194" s="17">
        <f>IF(A194="","",IFERROR(P194/G194,""))</f>
        <v/>
      </c>
      <c r="R194" s="14">
        <f>IF(OR(A194="",G194=""),"",COUNTIFS($N$2:$N$1000,"&gt;0",$G$2:$G$1000,"&gt;"&amp;G194)+COUNTIFS($N$2:N194,"&gt;0",$G$2:G194,G194))</f>
        <v/>
      </c>
    </row>
    <row r="195">
      <c r="A195" s="9" t="n"/>
      <c r="B195" s="10" t="n"/>
      <c r="C195" s="10" t="n"/>
      <c r="D195" s="10" t="n"/>
      <c r="E195" s="10" t="n"/>
      <c r="F195" s="12" t="n"/>
      <c r="G195" s="13" t="n"/>
      <c r="H195" s="13" t="n"/>
      <c r="I195" s="13" t="n"/>
      <c r="J195" s="13" t="n"/>
      <c r="K195" s="13" t="n"/>
      <c r="L195" s="10" t="n"/>
      <c r="M195" s="10" t="n"/>
      <c r="N195" s="14">
        <f>IF(A195="","",WEEKNUM(A195,2))</f>
        <v/>
      </c>
      <c r="O195" s="15">
        <f>IF(OR(A195="",F195=""),"",LOOKUP(F195,Lists!$F$2:$F$5,Lists!$G$2:$G$5))</f>
        <v/>
      </c>
      <c r="P195" s="16">
        <f>IF(A195="","",SUM(H195:K195))</f>
        <v/>
      </c>
      <c r="Q195" s="17">
        <f>IF(A195="","",IFERROR(P195/G195,""))</f>
        <v/>
      </c>
      <c r="R195" s="14">
        <f>IF(OR(A195="",G195=""),"",COUNTIFS($N$2:$N$1000,"&gt;0",$G$2:$G$1000,"&gt;"&amp;G195)+COUNTIFS($N$2:N195,"&gt;0",$G$2:G195,G195))</f>
        <v/>
      </c>
    </row>
    <row r="196">
      <c r="A196" s="9" t="n"/>
      <c r="B196" s="10" t="n"/>
      <c r="C196" s="10" t="n"/>
      <c r="D196" s="10" t="n"/>
      <c r="E196" s="10" t="n"/>
      <c r="F196" s="12" t="n"/>
      <c r="G196" s="13" t="n"/>
      <c r="H196" s="13" t="n"/>
      <c r="I196" s="13" t="n"/>
      <c r="J196" s="13" t="n"/>
      <c r="K196" s="13" t="n"/>
      <c r="L196" s="10" t="n"/>
      <c r="M196" s="10" t="n"/>
      <c r="N196" s="14">
        <f>IF(A196="","",WEEKNUM(A196,2))</f>
        <v/>
      </c>
      <c r="O196" s="15">
        <f>IF(OR(A196="",F196=""),"",LOOKUP(F196,Lists!$F$2:$F$5,Lists!$G$2:$G$5))</f>
        <v/>
      </c>
      <c r="P196" s="16">
        <f>IF(A196="","",SUM(H196:K196))</f>
        <v/>
      </c>
      <c r="Q196" s="17">
        <f>IF(A196="","",IFERROR(P196/G196,""))</f>
        <v/>
      </c>
      <c r="R196" s="14">
        <f>IF(OR(A196="",G196=""),"",COUNTIFS($N$2:$N$1000,"&gt;0",$G$2:$G$1000,"&gt;"&amp;G196)+COUNTIFS($N$2:N196,"&gt;0",$G$2:G196,G196))</f>
        <v/>
      </c>
    </row>
    <row r="197">
      <c r="A197" s="9" t="n"/>
      <c r="B197" s="10" t="n"/>
      <c r="C197" s="10" t="n"/>
      <c r="D197" s="10" t="n"/>
      <c r="E197" s="10" t="n"/>
      <c r="F197" s="12" t="n"/>
      <c r="G197" s="13" t="n"/>
      <c r="H197" s="13" t="n"/>
      <c r="I197" s="13" t="n"/>
      <c r="J197" s="13" t="n"/>
      <c r="K197" s="13" t="n"/>
      <c r="L197" s="10" t="n"/>
      <c r="M197" s="10" t="n"/>
      <c r="N197" s="14">
        <f>IF(A197="","",WEEKNUM(A197,2))</f>
        <v/>
      </c>
      <c r="O197" s="15">
        <f>IF(OR(A197="",F197=""),"",LOOKUP(F197,Lists!$F$2:$F$5,Lists!$G$2:$G$5))</f>
        <v/>
      </c>
      <c r="P197" s="16">
        <f>IF(A197="","",SUM(H197:K197))</f>
        <v/>
      </c>
      <c r="Q197" s="17">
        <f>IF(A197="","",IFERROR(P197/G197,""))</f>
        <v/>
      </c>
      <c r="R197" s="14">
        <f>IF(OR(A197="",G197=""),"",COUNTIFS($N$2:$N$1000,"&gt;0",$G$2:$G$1000,"&gt;"&amp;G197)+COUNTIFS($N$2:N197,"&gt;0",$G$2:G197,G197))</f>
        <v/>
      </c>
    </row>
    <row r="198">
      <c r="A198" s="9" t="n"/>
      <c r="B198" s="10" t="n"/>
      <c r="C198" s="10" t="n"/>
      <c r="D198" s="10" t="n"/>
      <c r="E198" s="10" t="n"/>
      <c r="F198" s="12" t="n"/>
      <c r="G198" s="13" t="n"/>
      <c r="H198" s="13" t="n"/>
      <c r="I198" s="13" t="n"/>
      <c r="J198" s="13" t="n"/>
      <c r="K198" s="13" t="n"/>
      <c r="L198" s="10" t="n"/>
      <c r="M198" s="10" t="n"/>
      <c r="N198" s="14">
        <f>IF(A198="","",WEEKNUM(A198,2))</f>
        <v/>
      </c>
      <c r="O198" s="15">
        <f>IF(OR(A198="",F198=""),"",LOOKUP(F198,Lists!$F$2:$F$5,Lists!$G$2:$G$5))</f>
        <v/>
      </c>
      <c r="P198" s="16">
        <f>IF(A198="","",SUM(H198:K198))</f>
        <v/>
      </c>
      <c r="Q198" s="17">
        <f>IF(A198="","",IFERROR(P198/G198,""))</f>
        <v/>
      </c>
      <c r="R198" s="14">
        <f>IF(OR(A198="",G198=""),"",COUNTIFS($N$2:$N$1000,"&gt;0",$G$2:$G$1000,"&gt;"&amp;G198)+COUNTIFS($N$2:N198,"&gt;0",$G$2:G198,G198))</f>
        <v/>
      </c>
    </row>
    <row r="199">
      <c r="A199" s="9" t="n"/>
      <c r="B199" s="10" t="n"/>
      <c r="C199" s="10" t="n"/>
      <c r="D199" s="10" t="n"/>
      <c r="E199" s="10" t="n"/>
      <c r="F199" s="12" t="n"/>
      <c r="G199" s="13" t="n"/>
      <c r="H199" s="13" t="n"/>
      <c r="I199" s="13" t="n"/>
      <c r="J199" s="13" t="n"/>
      <c r="K199" s="13" t="n"/>
      <c r="L199" s="10" t="n"/>
      <c r="M199" s="10" t="n"/>
      <c r="N199" s="14">
        <f>IF(A199="","",WEEKNUM(A199,2))</f>
        <v/>
      </c>
      <c r="O199" s="15">
        <f>IF(OR(A199="",F199=""),"",LOOKUP(F199,Lists!$F$2:$F$5,Lists!$G$2:$G$5))</f>
        <v/>
      </c>
      <c r="P199" s="16">
        <f>IF(A199="","",SUM(H199:K199))</f>
        <v/>
      </c>
      <c r="Q199" s="17">
        <f>IF(A199="","",IFERROR(P199/G199,""))</f>
        <v/>
      </c>
      <c r="R199" s="14">
        <f>IF(OR(A199="",G199=""),"",COUNTIFS($N$2:$N$1000,"&gt;0",$G$2:$G$1000,"&gt;"&amp;G199)+COUNTIFS($N$2:N199,"&gt;0",$G$2:G199,G199))</f>
        <v/>
      </c>
    </row>
    <row r="200">
      <c r="A200" s="9" t="n"/>
      <c r="B200" s="10" t="n"/>
      <c r="C200" s="10" t="n"/>
      <c r="D200" s="10" t="n"/>
      <c r="E200" s="10" t="n"/>
      <c r="F200" s="12" t="n"/>
      <c r="G200" s="13" t="n"/>
      <c r="H200" s="13" t="n"/>
      <c r="I200" s="13" t="n"/>
      <c r="J200" s="13" t="n"/>
      <c r="K200" s="13" t="n"/>
      <c r="L200" s="10" t="n"/>
      <c r="M200" s="10" t="n"/>
      <c r="N200" s="14">
        <f>IF(A200="","",WEEKNUM(A200,2))</f>
        <v/>
      </c>
      <c r="O200" s="15">
        <f>IF(OR(A200="",F200=""),"",LOOKUP(F200,Lists!$F$2:$F$5,Lists!$G$2:$G$5))</f>
        <v/>
      </c>
      <c r="P200" s="16">
        <f>IF(A200="","",SUM(H200:K200))</f>
        <v/>
      </c>
      <c r="Q200" s="17">
        <f>IF(A200="","",IFERROR(P200/G200,""))</f>
        <v/>
      </c>
      <c r="R200" s="14">
        <f>IF(OR(A200="",G200=""),"",COUNTIFS($N$2:$N$1000,"&gt;0",$G$2:$G$1000,"&gt;"&amp;G200)+COUNTIFS($N$2:N200,"&gt;0",$G$2:G200,G200))</f>
        <v/>
      </c>
    </row>
    <row r="201">
      <c r="A201" s="9" t="n"/>
      <c r="B201" s="10" t="n"/>
      <c r="C201" s="10" t="n"/>
      <c r="D201" s="10" t="n"/>
      <c r="E201" s="10" t="n"/>
      <c r="F201" s="12" t="n"/>
      <c r="G201" s="13" t="n"/>
      <c r="H201" s="13" t="n"/>
      <c r="I201" s="13" t="n"/>
      <c r="J201" s="13" t="n"/>
      <c r="K201" s="13" t="n"/>
      <c r="L201" s="10" t="n"/>
      <c r="M201" s="10" t="n"/>
      <c r="N201" s="14">
        <f>IF(A201="","",WEEKNUM(A201,2))</f>
        <v/>
      </c>
      <c r="O201" s="15">
        <f>IF(OR(A201="",F201=""),"",LOOKUP(F201,Lists!$F$2:$F$5,Lists!$G$2:$G$5))</f>
        <v/>
      </c>
      <c r="P201" s="16">
        <f>IF(A201="","",SUM(H201:K201))</f>
        <v/>
      </c>
      <c r="Q201" s="17">
        <f>IF(A201="","",IFERROR(P201/G201,""))</f>
        <v/>
      </c>
      <c r="R201" s="14">
        <f>IF(OR(A201="",G201=""),"",COUNTIFS($N$2:$N$1000,"&gt;0",$G$2:$G$1000,"&gt;"&amp;G201)+COUNTIFS($N$2:N201,"&gt;0",$G$2:G201,G201))</f>
        <v/>
      </c>
    </row>
    <row r="202">
      <c r="A202" s="9" t="n"/>
      <c r="B202" s="10" t="n"/>
      <c r="C202" s="10" t="n"/>
      <c r="D202" s="10" t="n"/>
      <c r="E202" s="10" t="n"/>
      <c r="F202" s="12" t="n"/>
      <c r="G202" s="13" t="n"/>
      <c r="H202" s="13" t="n"/>
      <c r="I202" s="13" t="n"/>
      <c r="J202" s="13" t="n"/>
      <c r="K202" s="13" t="n"/>
      <c r="L202" s="10" t="n"/>
      <c r="M202" s="10" t="n"/>
      <c r="N202" s="14">
        <f>IF(A202="","",WEEKNUM(A202,2))</f>
        <v/>
      </c>
      <c r="O202" s="15">
        <f>IF(OR(A202="",F202=""),"",LOOKUP(F202,Lists!$F$2:$F$5,Lists!$G$2:$G$5))</f>
        <v/>
      </c>
      <c r="P202" s="16">
        <f>IF(A202="","",SUM(H202:K202))</f>
        <v/>
      </c>
      <c r="Q202" s="17">
        <f>IF(A202="","",IFERROR(P202/G202,""))</f>
        <v/>
      </c>
      <c r="R202" s="14">
        <f>IF(OR(A202="",G202=""),"",COUNTIFS($N$2:$N$1000,"&gt;0",$G$2:$G$1000,"&gt;"&amp;G202)+COUNTIFS($N$2:N202,"&gt;0",$G$2:G202,G202))</f>
        <v/>
      </c>
    </row>
    <row r="203">
      <c r="A203" s="9" t="n"/>
      <c r="B203" s="10" t="n"/>
      <c r="C203" s="10" t="n"/>
      <c r="D203" s="10" t="n"/>
      <c r="E203" s="10" t="n"/>
      <c r="F203" s="12" t="n"/>
      <c r="G203" s="13" t="n"/>
      <c r="H203" s="13" t="n"/>
      <c r="I203" s="13" t="n"/>
      <c r="J203" s="13" t="n"/>
      <c r="K203" s="13" t="n"/>
      <c r="L203" s="10" t="n"/>
      <c r="M203" s="10" t="n"/>
      <c r="N203" s="14">
        <f>IF(A203="","",WEEKNUM(A203,2))</f>
        <v/>
      </c>
      <c r="O203" s="15">
        <f>IF(OR(A203="",F203=""),"",LOOKUP(F203,Lists!$F$2:$F$5,Lists!$G$2:$G$5))</f>
        <v/>
      </c>
      <c r="P203" s="16">
        <f>IF(A203="","",SUM(H203:K203))</f>
        <v/>
      </c>
      <c r="Q203" s="17">
        <f>IF(A203="","",IFERROR(P203/G203,""))</f>
        <v/>
      </c>
      <c r="R203" s="14">
        <f>IF(OR(A203="",G203=""),"",COUNTIFS($N$2:$N$1000,"&gt;0",$G$2:$G$1000,"&gt;"&amp;G203)+COUNTIFS($N$2:N203,"&gt;0",$G$2:G203,G203))</f>
        <v/>
      </c>
    </row>
    <row r="204">
      <c r="A204" s="9" t="n"/>
      <c r="B204" s="10" t="n"/>
      <c r="C204" s="10" t="n"/>
      <c r="D204" s="10" t="n"/>
      <c r="E204" s="10" t="n"/>
      <c r="F204" s="12" t="n"/>
      <c r="G204" s="13" t="n"/>
      <c r="H204" s="13" t="n"/>
      <c r="I204" s="13" t="n"/>
      <c r="J204" s="13" t="n"/>
      <c r="K204" s="13" t="n"/>
      <c r="L204" s="10" t="n"/>
      <c r="M204" s="10" t="n"/>
      <c r="N204" s="14">
        <f>IF(A204="","",WEEKNUM(A204,2))</f>
        <v/>
      </c>
      <c r="O204" s="15">
        <f>IF(OR(A204="",F204=""),"",LOOKUP(F204,Lists!$F$2:$F$5,Lists!$G$2:$G$5))</f>
        <v/>
      </c>
      <c r="P204" s="16">
        <f>IF(A204="","",SUM(H204:K204))</f>
        <v/>
      </c>
      <c r="Q204" s="17">
        <f>IF(A204="","",IFERROR(P204/G204,""))</f>
        <v/>
      </c>
      <c r="R204" s="14">
        <f>IF(OR(A204="",G204=""),"",COUNTIFS($N$2:$N$1000,"&gt;0",$G$2:$G$1000,"&gt;"&amp;G204)+COUNTIFS($N$2:N204,"&gt;0",$G$2:G204,G204))</f>
        <v/>
      </c>
    </row>
    <row r="205">
      <c r="A205" s="9" t="n"/>
      <c r="B205" s="10" t="n"/>
      <c r="C205" s="10" t="n"/>
      <c r="D205" s="10" t="n"/>
      <c r="E205" s="10" t="n"/>
      <c r="F205" s="12" t="n"/>
      <c r="G205" s="13" t="n"/>
      <c r="H205" s="13" t="n"/>
      <c r="I205" s="13" t="n"/>
      <c r="J205" s="13" t="n"/>
      <c r="K205" s="13" t="n"/>
      <c r="L205" s="10" t="n"/>
      <c r="M205" s="10" t="n"/>
      <c r="N205" s="14">
        <f>IF(A205="","",WEEKNUM(A205,2))</f>
        <v/>
      </c>
      <c r="O205" s="15">
        <f>IF(OR(A205="",F205=""),"",LOOKUP(F205,Lists!$F$2:$F$5,Lists!$G$2:$G$5))</f>
        <v/>
      </c>
      <c r="P205" s="16">
        <f>IF(A205="","",SUM(H205:K205))</f>
        <v/>
      </c>
      <c r="Q205" s="17">
        <f>IF(A205="","",IFERROR(P205/G205,""))</f>
        <v/>
      </c>
      <c r="R205" s="14">
        <f>IF(OR(A205="",G205=""),"",COUNTIFS($N$2:$N$1000,"&gt;0",$G$2:$G$1000,"&gt;"&amp;G205)+COUNTIFS($N$2:N205,"&gt;0",$G$2:G205,G205))</f>
        <v/>
      </c>
    </row>
    <row r="206">
      <c r="A206" s="9" t="n"/>
      <c r="B206" s="10" t="n"/>
      <c r="C206" s="10" t="n"/>
      <c r="D206" s="10" t="n"/>
      <c r="E206" s="10" t="n"/>
      <c r="F206" s="12" t="n"/>
      <c r="G206" s="13" t="n"/>
      <c r="H206" s="13" t="n"/>
      <c r="I206" s="13" t="n"/>
      <c r="J206" s="13" t="n"/>
      <c r="K206" s="13" t="n"/>
      <c r="L206" s="10" t="n"/>
      <c r="M206" s="10" t="n"/>
      <c r="N206" s="14">
        <f>IF(A206="","",WEEKNUM(A206,2))</f>
        <v/>
      </c>
      <c r="O206" s="15">
        <f>IF(OR(A206="",F206=""),"",LOOKUP(F206,Lists!$F$2:$F$5,Lists!$G$2:$G$5))</f>
        <v/>
      </c>
      <c r="P206" s="16">
        <f>IF(A206="","",SUM(H206:K206))</f>
        <v/>
      </c>
      <c r="Q206" s="17">
        <f>IF(A206="","",IFERROR(P206/G206,""))</f>
        <v/>
      </c>
      <c r="R206" s="14">
        <f>IF(OR(A206="",G206=""),"",COUNTIFS($N$2:$N$1000,"&gt;0",$G$2:$G$1000,"&gt;"&amp;G206)+COUNTIFS($N$2:N206,"&gt;0",$G$2:G206,G206))</f>
        <v/>
      </c>
    </row>
    <row r="207">
      <c r="A207" s="9" t="n"/>
      <c r="B207" s="10" t="n"/>
      <c r="C207" s="10" t="n"/>
      <c r="D207" s="10" t="n"/>
      <c r="E207" s="10" t="n"/>
      <c r="F207" s="12" t="n"/>
      <c r="G207" s="13" t="n"/>
      <c r="H207" s="13" t="n"/>
      <c r="I207" s="13" t="n"/>
      <c r="J207" s="13" t="n"/>
      <c r="K207" s="13" t="n"/>
      <c r="L207" s="10" t="n"/>
      <c r="M207" s="10" t="n"/>
      <c r="N207" s="14">
        <f>IF(A207="","",WEEKNUM(A207,2))</f>
        <v/>
      </c>
      <c r="O207" s="15">
        <f>IF(OR(A207="",F207=""),"",LOOKUP(F207,Lists!$F$2:$F$5,Lists!$G$2:$G$5))</f>
        <v/>
      </c>
      <c r="P207" s="16">
        <f>IF(A207="","",SUM(H207:K207))</f>
        <v/>
      </c>
      <c r="Q207" s="17">
        <f>IF(A207="","",IFERROR(P207/G207,""))</f>
        <v/>
      </c>
      <c r="R207" s="14">
        <f>IF(OR(A207="",G207=""),"",COUNTIFS($N$2:$N$1000,"&gt;0",$G$2:$G$1000,"&gt;"&amp;G207)+COUNTIFS($N$2:N207,"&gt;0",$G$2:G207,G207))</f>
        <v/>
      </c>
    </row>
    <row r="208">
      <c r="A208" s="9" t="n"/>
      <c r="B208" s="10" t="n"/>
      <c r="C208" s="10" t="n"/>
      <c r="D208" s="10" t="n"/>
      <c r="E208" s="10" t="n"/>
      <c r="F208" s="12" t="n"/>
      <c r="G208" s="13" t="n"/>
      <c r="H208" s="13" t="n"/>
      <c r="I208" s="13" t="n"/>
      <c r="J208" s="13" t="n"/>
      <c r="K208" s="13" t="n"/>
      <c r="L208" s="10" t="n"/>
      <c r="M208" s="10" t="n"/>
      <c r="N208" s="14">
        <f>IF(A208="","",WEEKNUM(A208,2))</f>
        <v/>
      </c>
      <c r="O208" s="15">
        <f>IF(OR(A208="",F208=""),"",LOOKUP(F208,Lists!$F$2:$F$5,Lists!$G$2:$G$5))</f>
        <v/>
      </c>
      <c r="P208" s="16">
        <f>IF(A208="","",SUM(H208:K208))</f>
        <v/>
      </c>
      <c r="Q208" s="17">
        <f>IF(A208="","",IFERROR(P208/G208,""))</f>
        <v/>
      </c>
      <c r="R208" s="14">
        <f>IF(OR(A208="",G208=""),"",COUNTIFS($N$2:$N$1000,"&gt;0",$G$2:$G$1000,"&gt;"&amp;G208)+COUNTIFS($N$2:N208,"&gt;0",$G$2:G208,G208))</f>
        <v/>
      </c>
    </row>
    <row r="209">
      <c r="A209" s="9" t="n"/>
      <c r="B209" s="10" t="n"/>
      <c r="C209" s="10" t="n"/>
      <c r="D209" s="10" t="n"/>
      <c r="E209" s="10" t="n"/>
      <c r="F209" s="12" t="n"/>
      <c r="G209" s="13" t="n"/>
      <c r="H209" s="13" t="n"/>
      <c r="I209" s="13" t="n"/>
      <c r="J209" s="13" t="n"/>
      <c r="K209" s="13" t="n"/>
      <c r="L209" s="10" t="n"/>
      <c r="M209" s="10" t="n"/>
      <c r="N209" s="14">
        <f>IF(A209="","",WEEKNUM(A209,2))</f>
        <v/>
      </c>
      <c r="O209" s="15">
        <f>IF(OR(A209="",F209=""),"",LOOKUP(F209,Lists!$F$2:$F$5,Lists!$G$2:$G$5))</f>
        <v/>
      </c>
      <c r="P209" s="16">
        <f>IF(A209="","",SUM(H209:K209))</f>
        <v/>
      </c>
      <c r="Q209" s="17">
        <f>IF(A209="","",IFERROR(P209/G209,""))</f>
        <v/>
      </c>
      <c r="R209" s="14">
        <f>IF(OR(A209="",G209=""),"",COUNTIFS($N$2:$N$1000,"&gt;0",$G$2:$G$1000,"&gt;"&amp;G209)+COUNTIFS($N$2:N209,"&gt;0",$G$2:G209,G209))</f>
        <v/>
      </c>
    </row>
    <row r="210">
      <c r="A210" s="9" t="n"/>
      <c r="B210" s="10" t="n"/>
      <c r="C210" s="10" t="n"/>
      <c r="D210" s="10" t="n"/>
      <c r="E210" s="10" t="n"/>
      <c r="F210" s="12" t="n"/>
      <c r="G210" s="13" t="n"/>
      <c r="H210" s="13" t="n"/>
      <c r="I210" s="13" t="n"/>
      <c r="J210" s="13" t="n"/>
      <c r="K210" s="13" t="n"/>
      <c r="L210" s="10" t="n"/>
      <c r="M210" s="10" t="n"/>
      <c r="N210" s="14">
        <f>IF(A210="","",WEEKNUM(A210,2))</f>
        <v/>
      </c>
      <c r="O210" s="15">
        <f>IF(OR(A210="",F210=""),"",LOOKUP(F210,Lists!$F$2:$F$5,Lists!$G$2:$G$5))</f>
        <v/>
      </c>
      <c r="P210" s="16">
        <f>IF(A210="","",SUM(H210:K210))</f>
        <v/>
      </c>
      <c r="Q210" s="17">
        <f>IF(A210="","",IFERROR(P210/G210,""))</f>
        <v/>
      </c>
      <c r="R210" s="14">
        <f>IF(OR(A210="",G210=""),"",COUNTIFS($N$2:$N$1000,"&gt;0",$G$2:$G$1000,"&gt;"&amp;G210)+COUNTIFS($N$2:N210,"&gt;0",$G$2:G210,G210))</f>
        <v/>
      </c>
    </row>
    <row r="211">
      <c r="A211" s="9" t="n"/>
      <c r="B211" s="10" t="n"/>
      <c r="C211" s="10" t="n"/>
      <c r="D211" s="10" t="n"/>
      <c r="E211" s="10" t="n"/>
      <c r="F211" s="12" t="n"/>
      <c r="G211" s="13" t="n"/>
      <c r="H211" s="13" t="n"/>
      <c r="I211" s="13" t="n"/>
      <c r="J211" s="13" t="n"/>
      <c r="K211" s="13" t="n"/>
      <c r="L211" s="10" t="n"/>
      <c r="M211" s="10" t="n"/>
      <c r="N211" s="14">
        <f>IF(A211="","",WEEKNUM(A211,2))</f>
        <v/>
      </c>
      <c r="O211" s="15">
        <f>IF(OR(A211="",F211=""),"",LOOKUP(F211,Lists!$F$2:$F$5,Lists!$G$2:$G$5))</f>
        <v/>
      </c>
      <c r="P211" s="16">
        <f>IF(A211="","",SUM(H211:K211))</f>
        <v/>
      </c>
      <c r="Q211" s="17">
        <f>IF(A211="","",IFERROR(P211/G211,""))</f>
        <v/>
      </c>
      <c r="R211" s="14">
        <f>IF(OR(A211="",G211=""),"",COUNTIFS($N$2:$N$1000,"&gt;0",$G$2:$G$1000,"&gt;"&amp;G211)+COUNTIFS($N$2:N211,"&gt;0",$G$2:G211,G211))</f>
        <v/>
      </c>
    </row>
    <row r="212">
      <c r="A212" s="9" t="n"/>
      <c r="B212" s="10" t="n"/>
      <c r="C212" s="10" t="n"/>
      <c r="D212" s="10" t="n"/>
      <c r="E212" s="10" t="n"/>
      <c r="F212" s="12" t="n"/>
      <c r="G212" s="13" t="n"/>
      <c r="H212" s="13" t="n"/>
      <c r="I212" s="13" t="n"/>
      <c r="J212" s="13" t="n"/>
      <c r="K212" s="13" t="n"/>
      <c r="L212" s="10" t="n"/>
      <c r="M212" s="10" t="n"/>
      <c r="N212" s="14">
        <f>IF(A212="","",WEEKNUM(A212,2))</f>
        <v/>
      </c>
      <c r="O212" s="15">
        <f>IF(OR(A212="",F212=""),"",LOOKUP(F212,Lists!$F$2:$F$5,Lists!$G$2:$G$5))</f>
        <v/>
      </c>
      <c r="P212" s="16">
        <f>IF(A212="","",SUM(H212:K212))</f>
        <v/>
      </c>
      <c r="Q212" s="17">
        <f>IF(A212="","",IFERROR(P212/G212,""))</f>
        <v/>
      </c>
      <c r="R212" s="14">
        <f>IF(OR(A212="",G212=""),"",COUNTIFS($N$2:$N$1000,"&gt;0",$G$2:$G$1000,"&gt;"&amp;G212)+COUNTIFS($N$2:N212,"&gt;0",$G$2:G212,G212))</f>
        <v/>
      </c>
    </row>
    <row r="213">
      <c r="A213" s="9" t="n"/>
      <c r="B213" s="10" t="n"/>
      <c r="C213" s="10" t="n"/>
      <c r="D213" s="10" t="n"/>
      <c r="E213" s="10" t="n"/>
      <c r="F213" s="12" t="n"/>
      <c r="G213" s="13" t="n"/>
      <c r="H213" s="13" t="n"/>
      <c r="I213" s="13" t="n"/>
      <c r="J213" s="13" t="n"/>
      <c r="K213" s="13" t="n"/>
      <c r="L213" s="10" t="n"/>
      <c r="M213" s="10" t="n"/>
      <c r="N213" s="14">
        <f>IF(A213="","",WEEKNUM(A213,2))</f>
        <v/>
      </c>
      <c r="O213" s="15">
        <f>IF(OR(A213="",F213=""),"",LOOKUP(F213,Lists!$F$2:$F$5,Lists!$G$2:$G$5))</f>
        <v/>
      </c>
      <c r="P213" s="16">
        <f>IF(A213="","",SUM(H213:K213))</f>
        <v/>
      </c>
      <c r="Q213" s="17">
        <f>IF(A213="","",IFERROR(P213/G213,""))</f>
        <v/>
      </c>
      <c r="R213" s="14">
        <f>IF(OR(A213="",G213=""),"",COUNTIFS($N$2:$N$1000,"&gt;0",$G$2:$G$1000,"&gt;"&amp;G213)+COUNTIFS($N$2:N213,"&gt;0",$G$2:G213,G213))</f>
        <v/>
      </c>
    </row>
    <row r="214">
      <c r="A214" s="9" t="n"/>
      <c r="B214" s="10" t="n"/>
      <c r="C214" s="10" t="n"/>
      <c r="D214" s="10" t="n"/>
      <c r="E214" s="10" t="n"/>
      <c r="F214" s="12" t="n"/>
      <c r="G214" s="13" t="n"/>
      <c r="H214" s="13" t="n"/>
      <c r="I214" s="13" t="n"/>
      <c r="J214" s="13" t="n"/>
      <c r="K214" s="13" t="n"/>
      <c r="L214" s="10" t="n"/>
      <c r="M214" s="10" t="n"/>
      <c r="N214" s="14">
        <f>IF(A214="","",WEEKNUM(A214,2))</f>
        <v/>
      </c>
      <c r="O214" s="15">
        <f>IF(OR(A214="",F214=""),"",LOOKUP(F214,Lists!$F$2:$F$5,Lists!$G$2:$G$5))</f>
        <v/>
      </c>
      <c r="P214" s="16">
        <f>IF(A214="","",SUM(H214:K214))</f>
        <v/>
      </c>
      <c r="Q214" s="17">
        <f>IF(A214="","",IFERROR(P214/G214,""))</f>
        <v/>
      </c>
      <c r="R214" s="14">
        <f>IF(OR(A214="",G214=""),"",COUNTIFS($N$2:$N$1000,"&gt;0",$G$2:$G$1000,"&gt;"&amp;G214)+COUNTIFS($N$2:N214,"&gt;0",$G$2:G214,G214))</f>
        <v/>
      </c>
    </row>
    <row r="215">
      <c r="A215" s="9" t="n"/>
      <c r="B215" s="10" t="n"/>
      <c r="C215" s="10" t="n"/>
      <c r="D215" s="10" t="n"/>
      <c r="E215" s="10" t="n"/>
      <c r="F215" s="12" t="n"/>
      <c r="G215" s="13" t="n"/>
      <c r="H215" s="13" t="n"/>
      <c r="I215" s="13" t="n"/>
      <c r="J215" s="13" t="n"/>
      <c r="K215" s="13" t="n"/>
      <c r="L215" s="10" t="n"/>
      <c r="M215" s="10" t="n"/>
      <c r="N215" s="14">
        <f>IF(A215="","",WEEKNUM(A215,2))</f>
        <v/>
      </c>
      <c r="O215" s="15">
        <f>IF(OR(A215="",F215=""),"",LOOKUP(F215,Lists!$F$2:$F$5,Lists!$G$2:$G$5))</f>
        <v/>
      </c>
      <c r="P215" s="16">
        <f>IF(A215="","",SUM(H215:K215))</f>
        <v/>
      </c>
      <c r="Q215" s="17">
        <f>IF(A215="","",IFERROR(P215/G215,""))</f>
        <v/>
      </c>
      <c r="R215" s="14">
        <f>IF(OR(A215="",G215=""),"",COUNTIFS($N$2:$N$1000,"&gt;0",$G$2:$G$1000,"&gt;"&amp;G215)+COUNTIFS($N$2:N215,"&gt;0",$G$2:G215,G215))</f>
        <v/>
      </c>
    </row>
    <row r="216">
      <c r="A216" s="9" t="n"/>
      <c r="B216" s="10" t="n"/>
      <c r="C216" s="10" t="n"/>
      <c r="D216" s="10" t="n"/>
      <c r="E216" s="10" t="n"/>
      <c r="F216" s="12" t="n"/>
      <c r="G216" s="13" t="n"/>
      <c r="H216" s="13" t="n"/>
      <c r="I216" s="13" t="n"/>
      <c r="J216" s="13" t="n"/>
      <c r="K216" s="13" t="n"/>
      <c r="L216" s="10" t="n"/>
      <c r="M216" s="10" t="n"/>
      <c r="N216" s="14">
        <f>IF(A216="","",WEEKNUM(A216,2))</f>
        <v/>
      </c>
      <c r="O216" s="15">
        <f>IF(OR(A216="",F216=""),"",LOOKUP(F216,Lists!$F$2:$F$5,Lists!$G$2:$G$5))</f>
        <v/>
      </c>
      <c r="P216" s="16">
        <f>IF(A216="","",SUM(H216:K216))</f>
        <v/>
      </c>
      <c r="Q216" s="17">
        <f>IF(A216="","",IFERROR(P216/G216,""))</f>
        <v/>
      </c>
      <c r="R216" s="14">
        <f>IF(OR(A216="",G216=""),"",COUNTIFS($N$2:$N$1000,"&gt;0",$G$2:$G$1000,"&gt;"&amp;G216)+COUNTIFS($N$2:N216,"&gt;0",$G$2:G216,G216))</f>
        <v/>
      </c>
    </row>
    <row r="217">
      <c r="A217" s="9" t="n"/>
      <c r="B217" s="10" t="n"/>
      <c r="C217" s="10" t="n"/>
      <c r="D217" s="10" t="n"/>
      <c r="E217" s="10" t="n"/>
      <c r="F217" s="12" t="n"/>
      <c r="G217" s="13" t="n"/>
      <c r="H217" s="13" t="n"/>
      <c r="I217" s="13" t="n"/>
      <c r="J217" s="13" t="n"/>
      <c r="K217" s="13" t="n"/>
      <c r="L217" s="10" t="n"/>
      <c r="M217" s="10" t="n"/>
      <c r="N217" s="14">
        <f>IF(A217="","",WEEKNUM(A217,2))</f>
        <v/>
      </c>
      <c r="O217" s="15">
        <f>IF(OR(A217="",F217=""),"",LOOKUP(F217,Lists!$F$2:$F$5,Lists!$G$2:$G$5))</f>
        <v/>
      </c>
      <c r="P217" s="16">
        <f>IF(A217="","",SUM(H217:K217))</f>
        <v/>
      </c>
      <c r="Q217" s="17">
        <f>IF(A217="","",IFERROR(P217/G217,""))</f>
        <v/>
      </c>
      <c r="R217" s="14">
        <f>IF(OR(A217="",G217=""),"",COUNTIFS($N$2:$N$1000,"&gt;0",$G$2:$G$1000,"&gt;"&amp;G217)+COUNTIFS($N$2:N217,"&gt;0",$G$2:G217,G217))</f>
        <v/>
      </c>
    </row>
    <row r="218">
      <c r="A218" s="9" t="n"/>
      <c r="B218" s="10" t="n"/>
      <c r="C218" s="10" t="n"/>
      <c r="D218" s="10" t="n"/>
      <c r="E218" s="10" t="n"/>
      <c r="F218" s="12" t="n"/>
      <c r="G218" s="13" t="n"/>
      <c r="H218" s="13" t="n"/>
      <c r="I218" s="13" t="n"/>
      <c r="J218" s="13" t="n"/>
      <c r="K218" s="13" t="n"/>
      <c r="L218" s="10" t="n"/>
      <c r="M218" s="10" t="n"/>
      <c r="N218" s="14">
        <f>IF(A218="","",WEEKNUM(A218,2))</f>
        <v/>
      </c>
      <c r="O218" s="15">
        <f>IF(OR(A218="",F218=""),"",LOOKUP(F218,Lists!$F$2:$F$5,Lists!$G$2:$G$5))</f>
        <v/>
      </c>
      <c r="P218" s="16">
        <f>IF(A218="","",SUM(H218:K218))</f>
        <v/>
      </c>
      <c r="Q218" s="17">
        <f>IF(A218="","",IFERROR(P218/G218,""))</f>
        <v/>
      </c>
      <c r="R218" s="14">
        <f>IF(OR(A218="",G218=""),"",COUNTIFS($N$2:$N$1000,"&gt;0",$G$2:$G$1000,"&gt;"&amp;G218)+COUNTIFS($N$2:N218,"&gt;0",$G$2:G218,G218))</f>
        <v/>
      </c>
    </row>
    <row r="219">
      <c r="A219" s="9" t="n"/>
      <c r="B219" s="10" t="n"/>
      <c r="C219" s="10" t="n"/>
      <c r="D219" s="10" t="n"/>
      <c r="E219" s="10" t="n"/>
      <c r="F219" s="12" t="n"/>
      <c r="G219" s="13" t="n"/>
      <c r="H219" s="13" t="n"/>
      <c r="I219" s="13" t="n"/>
      <c r="J219" s="13" t="n"/>
      <c r="K219" s="13" t="n"/>
      <c r="L219" s="10" t="n"/>
      <c r="M219" s="10" t="n"/>
      <c r="N219" s="14">
        <f>IF(A219="","",WEEKNUM(A219,2))</f>
        <v/>
      </c>
      <c r="O219" s="15">
        <f>IF(OR(A219="",F219=""),"",LOOKUP(F219,Lists!$F$2:$F$5,Lists!$G$2:$G$5))</f>
        <v/>
      </c>
      <c r="P219" s="16">
        <f>IF(A219="","",SUM(H219:K219))</f>
        <v/>
      </c>
      <c r="Q219" s="17">
        <f>IF(A219="","",IFERROR(P219/G219,""))</f>
        <v/>
      </c>
      <c r="R219" s="14">
        <f>IF(OR(A219="",G219=""),"",COUNTIFS($N$2:$N$1000,"&gt;0",$G$2:$G$1000,"&gt;"&amp;G219)+COUNTIFS($N$2:N219,"&gt;0",$G$2:G219,G219))</f>
        <v/>
      </c>
    </row>
    <row r="220">
      <c r="A220" s="9" t="n"/>
      <c r="B220" s="10" t="n"/>
      <c r="C220" s="10" t="n"/>
      <c r="D220" s="10" t="n"/>
      <c r="E220" s="10" t="n"/>
      <c r="F220" s="12" t="n"/>
      <c r="G220" s="13" t="n"/>
      <c r="H220" s="13" t="n"/>
      <c r="I220" s="13" t="n"/>
      <c r="J220" s="13" t="n"/>
      <c r="K220" s="13" t="n"/>
      <c r="L220" s="10" t="n"/>
      <c r="M220" s="10" t="n"/>
      <c r="N220" s="14">
        <f>IF(A220="","",WEEKNUM(A220,2))</f>
        <v/>
      </c>
      <c r="O220" s="15">
        <f>IF(OR(A220="",F220=""),"",LOOKUP(F220,Lists!$F$2:$F$5,Lists!$G$2:$G$5))</f>
        <v/>
      </c>
      <c r="P220" s="16">
        <f>IF(A220="","",SUM(H220:K220))</f>
        <v/>
      </c>
      <c r="Q220" s="17">
        <f>IF(A220="","",IFERROR(P220/G220,""))</f>
        <v/>
      </c>
      <c r="R220" s="14">
        <f>IF(OR(A220="",G220=""),"",COUNTIFS($N$2:$N$1000,"&gt;0",$G$2:$G$1000,"&gt;"&amp;G220)+COUNTIFS($N$2:N220,"&gt;0",$G$2:G220,G220))</f>
        <v/>
      </c>
    </row>
    <row r="221">
      <c r="A221" s="9" t="n"/>
      <c r="B221" s="10" t="n"/>
      <c r="C221" s="10" t="n"/>
      <c r="D221" s="10" t="n"/>
      <c r="E221" s="10" t="n"/>
      <c r="F221" s="12" t="n"/>
      <c r="G221" s="13" t="n"/>
      <c r="H221" s="13" t="n"/>
      <c r="I221" s="13" t="n"/>
      <c r="J221" s="13" t="n"/>
      <c r="K221" s="13" t="n"/>
      <c r="L221" s="10" t="n"/>
      <c r="M221" s="10" t="n"/>
      <c r="N221" s="14">
        <f>IF(A221="","",WEEKNUM(A221,2))</f>
        <v/>
      </c>
      <c r="O221" s="15">
        <f>IF(OR(A221="",F221=""),"",LOOKUP(F221,Lists!$F$2:$F$5,Lists!$G$2:$G$5))</f>
        <v/>
      </c>
      <c r="P221" s="16">
        <f>IF(A221="","",SUM(H221:K221))</f>
        <v/>
      </c>
      <c r="Q221" s="17">
        <f>IF(A221="","",IFERROR(P221/G221,""))</f>
        <v/>
      </c>
      <c r="R221" s="14">
        <f>IF(OR(A221="",G221=""),"",COUNTIFS($N$2:$N$1000,"&gt;0",$G$2:$G$1000,"&gt;"&amp;G221)+COUNTIFS($N$2:N221,"&gt;0",$G$2:G221,G221))</f>
        <v/>
      </c>
    </row>
    <row r="222">
      <c r="A222" s="9" t="n"/>
      <c r="B222" s="10" t="n"/>
      <c r="C222" s="10" t="n"/>
      <c r="D222" s="10" t="n"/>
      <c r="E222" s="10" t="n"/>
      <c r="F222" s="12" t="n"/>
      <c r="G222" s="13" t="n"/>
      <c r="H222" s="13" t="n"/>
      <c r="I222" s="13" t="n"/>
      <c r="J222" s="13" t="n"/>
      <c r="K222" s="13" t="n"/>
      <c r="L222" s="10" t="n"/>
      <c r="M222" s="10" t="n"/>
      <c r="N222" s="14">
        <f>IF(A222="","",WEEKNUM(A222,2))</f>
        <v/>
      </c>
      <c r="O222" s="15">
        <f>IF(OR(A222="",F222=""),"",LOOKUP(F222,Lists!$F$2:$F$5,Lists!$G$2:$G$5))</f>
        <v/>
      </c>
      <c r="P222" s="16">
        <f>IF(A222="","",SUM(H222:K222))</f>
        <v/>
      </c>
      <c r="Q222" s="17">
        <f>IF(A222="","",IFERROR(P222/G222,""))</f>
        <v/>
      </c>
      <c r="R222" s="14">
        <f>IF(OR(A222="",G222=""),"",COUNTIFS($N$2:$N$1000,"&gt;0",$G$2:$G$1000,"&gt;"&amp;G222)+COUNTIFS($N$2:N222,"&gt;0",$G$2:G222,G222))</f>
        <v/>
      </c>
    </row>
    <row r="223">
      <c r="A223" s="9" t="n"/>
      <c r="B223" s="10" t="n"/>
      <c r="C223" s="10" t="n"/>
      <c r="D223" s="10" t="n"/>
      <c r="E223" s="10" t="n"/>
      <c r="F223" s="12" t="n"/>
      <c r="G223" s="13" t="n"/>
      <c r="H223" s="13" t="n"/>
      <c r="I223" s="13" t="n"/>
      <c r="J223" s="13" t="n"/>
      <c r="K223" s="13" t="n"/>
      <c r="L223" s="10" t="n"/>
      <c r="M223" s="10" t="n"/>
      <c r="N223" s="14">
        <f>IF(A223="","",WEEKNUM(A223,2))</f>
        <v/>
      </c>
      <c r="O223" s="15">
        <f>IF(OR(A223="",F223=""),"",LOOKUP(F223,Lists!$F$2:$F$5,Lists!$G$2:$G$5))</f>
        <v/>
      </c>
      <c r="P223" s="16">
        <f>IF(A223="","",SUM(H223:K223))</f>
        <v/>
      </c>
      <c r="Q223" s="17">
        <f>IF(A223="","",IFERROR(P223/G223,""))</f>
        <v/>
      </c>
      <c r="R223" s="14">
        <f>IF(OR(A223="",G223=""),"",COUNTIFS($N$2:$N$1000,"&gt;0",$G$2:$G$1000,"&gt;"&amp;G223)+COUNTIFS($N$2:N223,"&gt;0",$G$2:G223,G223))</f>
        <v/>
      </c>
    </row>
    <row r="224">
      <c r="A224" s="9" t="n"/>
      <c r="B224" s="10" t="n"/>
      <c r="C224" s="10" t="n"/>
      <c r="D224" s="10" t="n"/>
      <c r="E224" s="10" t="n"/>
      <c r="F224" s="12" t="n"/>
      <c r="G224" s="13" t="n"/>
      <c r="H224" s="13" t="n"/>
      <c r="I224" s="13" t="n"/>
      <c r="J224" s="13" t="n"/>
      <c r="K224" s="13" t="n"/>
      <c r="L224" s="10" t="n"/>
      <c r="M224" s="10" t="n"/>
      <c r="N224" s="14">
        <f>IF(A224="","",WEEKNUM(A224,2))</f>
        <v/>
      </c>
      <c r="O224" s="15">
        <f>IF(OR(A224="",F224=""),"",LOOKUP(F224,Lists!$F$2:$F$5,Lists!$G$2:$G$5))</f>
        <v/>
      </c>
      <c r="P224" s="16">
        <f>IF(A224="","",SUM(H224:K224))</f>
        <v/>
      </c>
      <c r="Q224" s="17">
        <f>IF(A224="","",IFERROR(P224/G224,""))</f>
        <v/>
      </c>
      <c r="R224" s="14">
        <f>IF(OR(A224="",G224=""),"",COUNTIFS($N$2:$N$1000,"&gt;0",$G$2:$G$1000,"&gt;"&amp;G224)+COUNTIFS($N$2:N224,"&gt;0",$G$2:G224,G224))</f>
        <v/>
      </c>
    </row>
    <row r="225">
      <c r="A225" s="9" t="n"/>
      <c r="B225" s="10" t="n"/>
      <c r="C225" s="10" t="n"/>
      <c r="D225" s="10" t="n"/>
      <c r="E225" s="10" t="n"/>
      <c r="F225" s="12" t="n"/>
      <c r="G225" s="13" t="n"/>
      <c r="H225" s="13" t="n"/>
      <c r="I225" s="13" t="n"/>
      <c r="J225" s="13" t="n"/>
      <c r="K225" s="13" t="n"/>
      <c r="L225" s="10" t="n"/>
      <c r="M225" s="10" t="n"/>
      <c r="N225" s="14">
        <f>IF(A225="","",WEEKNUM(A225,2))</f>
        <v/>
      </c>
      <c r="O225" s="15">
        <f>IF(OR(A225="",F225=""),"",LOOKUP(F225,Lists!$F$2:$F$5,Lists!$G$2:$G$5))</f>
        <v/>
      </c>
      <c r="P225" s="16">
        <f>IF(A225="","",SUM(H225:K225))</f>
        <v/>
      </c>
      <c r="Q225" s="17">
        <f>IF(A225="","",IFERROR(P225/G225,""))</f>
        <v/>
      </c>
      <c r="R225" s="14">
        <f>IF(OR(A225="",G225=""),"",COUNTIFS($N$2:$N$1000,"&gt;0",$G$2:$G$1000,"&gt;"&amp;G225)+COUNTIFS($N$2:N225,"&gt;0",$G$2:G225,G225))</f>
        <v/>
      </c>
    </row>
    <row r="226">
      <c r="A226" s="9" t="n"/>
      <c r="B226" s="10" t="n"/>
      <c r="C226" s="10" t="n"/>
      <c r="D226" s="10" t="n"/>
      <c r="E226" s="10" t="n"/>
      <c r="F226" s="12" t="n"/>
      <c r="G226" s="13" t="n"/>
      <c r="H226" s="13" t="n"/>
      <c r="I226" s="13" t="n"/>
      <c r="J226" s="13" t="n"/>
      <c r="K226" s="13" t="n"/>
      <c r="L226" s="10" t="n"/>
      <c r="M226" s="10" t="n"/>
      <c r="N226" s="14">
        <f>IF(A226="","",WEEKNUM(A226,2))</f>
        <v/>
      </c>
      <c r="O226" s="15">
        <f>IF(OR(A226="",F226=""),"",LOOKUP(F226,Lists!$F$2:$F$5,Lists!$G$2:$G$5))</f>
        <v/>
      </c>
      <c r="P226" s="16">
        <f>IF(A226="","",SUM(H226:K226))</f>
        <v/>
      </c>
      <c r="Q226" s="17">
        <f>IF(A226="","",IFERROR(P226/G226,""))</f>
        <v/>
      </c>
      <c r="R226" s="14">
        <f>IF(OR(A226="",G226=""),"",COUNTIFS($N$2:$N$1000,"&gt;0",$G$2:$G$1000,"&gt;"&amp;G226)+COUNTIFS($N$2:N226,"&gt;0",$G$2:G226,G226))</f>
        <v/>
      </c>
    </row>
    <row r="227">
      <c r="A227" s="9" t="n"/>
      <c r="B227" s="10" t="n"/>
      <c r="C227" s="10" t="n"/>
      <c r="D227" s="10" t="n"/>
      <c r="E227" s="10" t="n"/>
      <c r="F227" s="12" t="n"/>
      <c r="G227" s="13" t="n"/>
      <c r="H227" s="13" t="n"/>
      <c r="I227" s="13" t="n"/>
      <c r="J227" s="13" t="n"/>
      <c r="K227" s="13" t="n"/>
      <c r="L227" s="10" t="n"/>
      <c r="M227" s="10" t="n"/>
      <c r="N227" s="14">
        <f>IF(A227="","",WEEKNUM(A227,2))</f>
        <v/>
      </c>
      <c r="O227" s="15">
        <f>IF(OR(A227="",F227=""),"",LOOKUP(F227,Lists!$F$2:$F$5,Lists!$G$2:$G$5))</f>
        <v/>
      </c>
      <c r="P227" s="16">
        <f>IF(A227="","",SUM(H227:K227))</f>
        <v/>
      </c>
      <c r="Q227" s="17">
        <f>IF(A227="","",IFERROR(P227/G227,""))</f>
        <v/>
      </c>
      <c r="R227" s="14">
        <f>IF(OR(A227="",G227=""),"",COUNTIFS($N$2:$N$1000,"&gt;0",$G$2:$G$1000,"&gt;"&amp;G227)+COUNTIFS($N$2:N227,"&gt;0",$G$2:G227,G227))</f>
        <v/>
      </c>
    </row>
    <row r="228">
      <c r="A228" s="9" t="n"/>
      <c r="B228" s="10" t="n"/>
      <c r="C228" s="10" t="n"/>
      <c r="D228" s="10" t="n"/>
      <c r="E228" s="10" t="n"/>
      <c r="F228" s="12" t="n"/>
      <c r="G228" s="13" t="n"/>
      <c r="H228" s="13" t="n"/>
      <c r="I228" s="13" t="n"/>
      <c r="J228" s="13" t="n"/>
      <c r="K228" s="13" t="n"/>
      <c r="L228" s="10" t="n"/>
      <c r="M228" s="10" t="n"/>
      <c r="N228" s="14">
        <f>IF(A228="","",WEEKNUM(A228,2))</f>
        <v/>
      </c>
      <c r="O228" s="15">
        <f>IF(OR(A228="",F228=""),"",LOOKUP(F228,Lists!$F$2:$F$5,Lists!$G$2:$G$5))</f>
        <v/>
      </c>
      <c r="P228" s="16">
        <f>IF(A228="","",SUM(H228:K228))</f>
        <v/>
      </c>
      <c r="Q228" s="17">
        <f>IF(A228="","",IFERROR(P228/G228,""))</f>
        <v/>
      </c>
      <c r="R228" s="14">
        <f>IF(OR(A228="",G228=""),"",COUNTIFS($N$2:$N$1000,"&gt;0",$G$2:$G$1000,"&gt;"&amp;G228)+COUNTIFS($N$2:N228,"&gt;0",$G$2:G228,G228))</f>
        <v/>
      </c>
    </row>
    <row r="229">
      <c r="A229" s="9" t="n"/>
      <c r="B229" s="10" t="n"/>
      <c r="C229" s="10" t="n"/>
      <c r="D229" s="10" t="n"/>
      <c r="E229" s="10" t="n"/>
      <c r="F229" s="12" t="n"/>
      <c r="G229" s="13" t="n"/>
      <c r="H229" s="13" t="n"/>
      <c r="I229" s="13" t="n"/>
      <c r="J229" s="13" t="n"/>
      <c r="K229" s="13" t="n"/>
      <c r="L229" s="10" t="n"/>
      <c r="M229" s="10" t="n"/>
      <c r="N229" s="14">
        <f>IF(A229="","",WEEKNUM(A229,2))</f>
        <v/>
      </c>
      <c r="O229" s="15">
        <f>IF(OR(A229="",F229=""),"",LOOKUP(F229,Lists!$F$2:$F$5,Lists!$G$2:$G$5))</f>
        <v/>
      </c>
      <c r="P229" s="16">
        <f>IF(A229="","",SUM(H229:K229))</f>
        <v/>
      </c>
      <c r="Q229" s="17">
        <f>IF(A229="","",IFERROR(P229/G229,""))</f>
        <v/>
      </c>
      <c r="R229" s="14">
        <f>IF(OR(A229="",G229=""),"",COUNTIFS($N$2:$N$1000,"&gt;0",$G$2:$G$1000,"&gt;"&amp;G229)+COUNTIFS($N$2:N229,"&gt;0",$G$2:G229,G229))</f>
        <v/>
      </c>
    </row>
    <row r="230">
      <c r="A230" s="9" t="n"/>
      <c r="B230" s="10" t="n"/>
      <c r="C230" s="10" t="n"/>
      <c r="D230" s="10" t="n"/>
      <c r="E230" s="10" t="n"/>
      <c r="F230" s="12" t="n"/>
      <c r="G230" s="13" t="n"/>
      <c r="H230" s="13" t="n"/>
      <c r="I230" s="13" t="n"/>
      <c r="J230" s="13" t="n"/>
      <c r="K230" s="13" t="n"/>
      <c r="L230" s="10" t="n"/>
      <c r="M230" s="10" t="n"/>
      <c r="N230" s="14">
        <f>IF(A230="","",WEEKNUM(A230,2))</f>
        <v/>
      </c>
      <c r="O230" s="15">
        <f>IF(OR(A230="",F230=""),"",LOOKUP(F230,Lists!$F$2:$F$5,Lists!$G$2:$G$5))</f>
        <v/>
      </c>
      <c r="P230" s="16">
        <f>IF(A230="","",SUM(H230:K230))</f>
        <v/>
      </c>
      <c r="Q230" s="17">
        <f>IF(A230="","",IFERROR(P230/G230,""))</f>
        <v/>
      </c>
      <c r="R230" s="14">
        <f>IF(OR(A230="",G230=""),"",COUNTIFS($N$2:$N$1000,"&gt;0",$G$2:$G$1000,"&gt;"&amp;G230)+COUNTIFS($N$2:N230,"&gt;0",$G$2:G230,G230))</f>
        <v/>
      </c>
    </row>
    <row r="231">
      <c r="A231" s="9" t="n"/>
      <c r="B231" s="10" t="n"/>
      <c r="C231" s="10" t="n"/>
      <c r="D231" s="10" t="n"/>
      <c r="E231" s="10" t="n"/>
      <c r="F231" s="12" t="n"/>
      <c r="G231" s="13" t="n"/>
      <c r="H231" s="13" t="n"/>
      <c r="I231" s="13" t="n"/>
      <c r="J231" s="13" t="n"/>
      <c r="K231" s="13" t="n"/>
      <c r="L231" s="10" t="n"/>
      <c r="M231" s="10" t="n"/>
      <c r="N231" s="14">
        <f>IF(A231="","",WEEKNUM(A231,2))</f>
        <v/>
      </c>
      <c r="O231" s="15">
        <f>IF(OR(A231="",F231=""),"",LOOKUP(F231,Lists!$F$2:$F$5,Lists!$G$2:$G$5))</f>
        <v/>
      </c>
      <c r="P231" s="16">
        <f>IF(A231="","",SUM(H231:K231))</f>
        <v/>
      </c>
      <c r="Q231" s="17">
        <f>IF(A231="","",IFERROR(P231/G231,""))</f>
        <v/>
      </c>
      <c r="R231" s="14">
        <f>IF(OR(A231="",G231=""),"",COUNTIFS($N$2:$N$1000,"&gt;0",$G$2:$G$1000,"&gt;"&amp;G231)+COUNTIFS($N$2:N231,"&gt;0",$G$2:G231,G231))</f>
        <v/>
      </c>
    </row>
    <row r="232">
      <c r="A232" s="9" t="n"/>
      <c r="B232" s="10" t="n"/>
      <c r="C232" s="10" t="n"/>
      <c r="D232" s="10" t="n"/>
      <c r="E232" s="10" t="n"/>
      <c r="F232" s="12" t="n"/>
      <c r="G232" s="13" t="n"/>
      <c r="H232" s="13" t="n"/>
      <c r="I232" s="13" t="n"/>
      <c r="J232" s="13" t="n"/>
      <c r="K232" s="13" t="n"/>
      <c r="L232" s="10" t="n"/>
      <c r="M232" s="10" t="n"/>
      <c r="N232" s="14">
        <f>IF(A232="","",WEEKNUM(A232,2))</f>
        <v/>
      </c>
      <c r="O232" s="15">
        <f>IF(OR(A232="",F232=""),"",LOOKUP(F232,Lists!$F$2:$F$5,Lists!$G$2:$G$5))</f>
        <v/>
      </c>
      <c r="P232" s="16">
        <f>IF(A232="","",SUM(H232:K232))</f>
        <v/>
      </c>
      <c r="Q232" s="17">
        <f>IF(A232="","",IFERROR(P232/G232,""))</f>
        <v/>
      </c>
      <c r="R232" s="14">
        <f>IF(OR(A232="",G232=""),"",COUNTIFS($N$2:$N$1000,"&gt;0",$G$2:$G$1000,"&gt;"&amp;G232)+COUNTIFS($N$2:N232,"&gt;0",$G$2:G232,G232))</f>
        <v/>
      </c>
    </row>
    <row r="233">
      <c r="A233" s="9" t="n"/>
      <c r="B233" s="10" t="n"/>
      <c r="C233" s="10" t="n"/>
      <c r="D233" s="10" t="n"/>
      <c r="E233" s="10" t="n"/>
      <c r="F233" s="12" t="n"/>
      <c r="G233" s="13" t="n"/>
      <c r="H233" s="13" t="n"/>
      <c r="I233" s="13" t="n"/>
      <c r="J233" s="13" t="n"/>
      <c r="K233" s="13" t="n"/>
      <c r="L233" s="10" t="n"/>
      <c r="M233" s="10" t="n"/>
      <c r="N233" s="14">
        <f>IF(A233="","",WEEKNUM(A233,2))</f>
        <v/>
      </c>
      <c r="O233" s="15">
        <f>IF(OR(A233="",F233=""),"",LOOKUP(F233,Lists!$F$2:$F$5,Lists!$G$2:$G$5))</f>
        <v/>
      </c>
      <c r="P233" s="16">
        <f>IF(A233="","",SUM(H233:K233))</f>
        <v/>
      </c>
      <c r="Q233" s="17">
        <f>IF(A233="","",IFERROR(P233/G233,""))</f>
        <v/>
      </c>
      <c r="R233" s="14">
        <f>IF(OR(A233="",G233=""),"",COUNTIFS($N$2:$N$1000,"&gt;0",$G$2:$G$1000,"&gt;"&amp;G233)+COUNTIFS($N$2:N233,"&gt;0",$G$2:G233,G233))</f>
        <v/>
      </c>
    </row>
    <row r="234">
      <c r="A234" s="9" t="n"/>
      <c r="B234" s="10" t="n"/>
      <c r="C234" s="10" t="n"/>
      <c r="D234" s="10" t="n"/>
      <c r="E234" s="10" t="n"/>
      <c r="F234" s="12" t="n"/>
      <c r="G234" s="13" t="n"/>
      <c r="H234" s="13" t="n"/>
      <c r="I234" s="13" t="n"/>
      <c r="J234" s="13" t="n"/>
      <c r="K234" s="13" t="n"/>
      <c r="L234" s="10" t="n"/>
      <c r="M234" s="10" t="n"/>
      <c r="N234" s="14">
        <f>IF(A234="","",WEEKNUM(A234,2))</f>
        <v/>
      </c>
      <c r="O234" s="15">
        <f>IF(OR(A234="",F234=""),"",LOOKUP(F234,Lists!$F$2:$F$5,Lists!$G$2:$G$5))</f>
        <v/>
      </c>
      <c r="P234" s="16">
        <f>IF(A234="","",SUM(H234:K234))</f>
        <v/>
      </c>
      <c r="Q234" s="17">
        <f>IF(A234="","",IFERROR(P234/G234,""))</f>
        <v/>
      </c>
      <c r="R234" s="14">
        <f>IF(OR(A234="",G234=""),"",COUNTIFS($N$2:$N$1000,"&gt;0",$G$2:$G$1000,"&gt;"&amp;G234)+COUNTIFS($N$2:N234,"&gt;0",$G$2:G234,G234))</f>
        <v/>
      </c>
    </row>
    <row r="235">
      <c r="A235" s="9" t="n"/>
      <c r="B235" s="10" t="n"/>
      <c r="C235" s="10" t="n"/>
      <c r="D235" s="10" t="n"/>
      <c r="E235" s="10" t="n"/>
      <c r="F235" s="12" t="n"/>
      <c r="G235" s="13" t="n"/>
      <c r="H235" s="13" t="n"/>
      <c r="I235" s="13" t="n"/>
      <c r="J235" s="13" t="n"/>
      <c r="K235" s="13" t="n"/>
      <c r="L235" s="10" t="n"/>
      <c r="M235" s="10" t="n"/>
      <c r="N235" s="14">
        <f>IF(A235="","",WEEKNUM(A235,2))</f>
        <v/>
      </c>
      <c r="O235" s="15">
        <f>IF(OR(A235="",F235=""),"",LOOKUP(F235,Lists!$F$2:$F$5,Lists!$G$2:$G$5))</f>
        <v/>
      </c>
      <c r="P235" s="16">
        <f>IF(A235="","",SUM(H235:K235))</f>
        <v/>
      </c>
      <c r="Q235" s="17">
        <f>IF(A235="","",IFERROR(P235/G235,""))</f>
        <v/>
      </c>
      <c r="R235" s="14">
        <f>IF(OR(A235="",G235=""),"",COUNTIFS($N$2:$N$1000,"&gt;0",$G$2:$G$1000,"&gt;"&amp;G235)+COUNTIFS($N$2:N235,"&gt;0",$G$2:G235,G235))</f>
        <v/>
      </c>
    </row>
    <row r="236">
      <c r="A236" s="9" t="n"/>
      <c r="B236" s="10" t="n"/>
      <c r="C236" s="10" t="n"/>
      <c r="D236" s="10" t="n"/>
      <c r="E236" s="10" t="n"/>
      <c r="F236" s="12" t="n"/>
      <c r="G236" s="13" t="n"/>
      <c r="H236" s="13" t="n"/>
      <c r="I236" s="13" t="n"/>
      <c r="J236" s="13" t="n"/>
      <c r="K236" s="13" t="n"/>
      <c r="L236" s="10" t="n"/>
      <c r="M236" s="10" t="n"/>
      <c r="N236" s="14">
        <f>IF(A236="","",WEEKNUM(A236,2))</f>
        <v/>
      </c>
      <c r="O236" s="15">
        <f>IF(OR(A236="",F236=""),"",LOOKUP(F236,Lists!$F$2:$F$5,Lists!$G$2:$G$5))</f>
        <v/>
      </c>
      <c r="P236" s="16">
        <f>IF(A236="","",SUM(H236:K236))</f>
        <v/>
      </c>
      <c r="Q236" s="17">
        <f>IF(A236="","",IFERROR(P236/G236,""))</f>
        <v/>
      </c>
      <c r="R236" s="14">
        <f>IF(OR(A236="",G236=""),"",COUNTIFS($N$2:$N$1000,"&gt;0",$G$2:$G$1000,"&gt;"&amp;G236)+COUNTIFS($N$2:N236,"&gt;0",$G$2:G236,G236))</f>
        <v/>
      </c>
    </row>
    <row r="237">
      <c r="A237" s="9" t="n"/>
      <c r="B237" s="10" t="n"/>
      <c r="C237" s="10" t="n"/>
      <c r="D237" s="10" t="n"/>
      <c r="E237" s="10" t="n"/>
      <c r="F237" s="12" t="n"/>
      <c r="G237" s="13" t="n"/>
      <c r="H237" s="13" t="n"/>
      <c r="I237" s="13" t="n"/>
      <c r="J237" s="13" t="n"/>
      <c r="K237" s="13" t="n"/>
      <c r="L237" s="10" t="n"/>
      <c r="M237" s="10" t="n"/>
      <c r="N237" s="14">
        <f>IF(A237="","",WEEKNUM(A237,2))</f>
        <v/>
      </c>
      <c r="O237" s="15">
        <f>IF(OR(A237="",F237=""),"",LOOKUP(F237,Lists!$F$2:$F$5,Lists!$G$2:$G$5))</f>
        <v/>
      </c>
      <c r="P237" s="16">
        <f>IF(A237="","",SUM(H237:K237))</f>
        <v/>
      </c>
      <c r="Q237" s="17">
        <f>IF(A237="","",IFERROR(P237/G237,""))</f>
        <v/>
      </c>
      <c r="R237" s="14">
        <f>IF(OR(A237="",G237=""),"",COUNTIFS($N$2:$N$1000,"&gt;0",$G$2:$G$1000,"&gt;"&amp;G237)+COUNTIFS($N$2:N237,"&gt;0",$G$2:G237,G237))</f>
        <v/>
      </c>
    </row>
    <row r="238">
      <c r="A238" s="9" t="n"/>
      <c r="B238" s="10" t="n"/>
      <c r="C238" s="10" t="n"/>
      <c r="D238" s="10" t="n"/>
      <c r="E238" s="10" t="n"/>
      <c r="F238" s="12" t="n"/>
      <c r="G238" s="13" t="n"/>
      <c r="H238" s="13" t="n"/>
      <c r="I238" s="13" t="n"/>
      <c r="J238" s="13" t="n"/>
      <c r="K238" s="13" t="n"/>
      <c r="L238" s="10" t="n"/>
      <c r="M238" s="10" t="n"/>
      <c r="N238" s="14">
        <f>IF(A238="","",WEEKNUM(A238,2))</f>
        <v/>
      </c>
      <c r="O238" s="15">
        <f>IF(OR(A238="",F238=""),"",LOOKUP(F238,Lists!$F$2:$F$5,Lists!$G$2:$G$5))</f>
        <v/>
      </c>
      <c r="P238" s="16">
        <f>IF(A238="","",SUM(H238:K238))</f>
        <v/>
      </c>
      <c r="Q238" s="17">
        <f>IF(A238="","",IFERROR(P238/G238,""))</f>
        <v/>
      </c>
      <c r="R238" s="14">
        <f>IF(OR(A238="",G238=""),"",COUNTIFS($N$2:$N$1000,"&gt;0",$G$2:$G$1000,"&gt;"&amp;G238)+COUNTIFS($N$2:N238,"&gt;0",$G$2:G238,G238))</f>
        <v/>
      </c>
    </row>
    <row r="239">
      <c r="A239" s="9" t="n"/>
      <c r="B239" s="10" t="n"/>
      <c r="C239" s="10" t="n"/>
      <c r="D239" s="10" t="n"/>
      <c r="E239" s="10" t="n"/>
      <c r="F239" s="12" t="n"/>
      <c r="G239" s="13" t="n"/>
      <c r="H239" s="13" t="n"/>
      <c r="I239" s="13" t="n"/>
      <c r="J239" s="13" t="n"/>
      <c r="K239" s="13" t="n"/>
      <c r="L239" s="10" t="n"/>
      <c r="M239" s="10" t="n"/>
      <c r="N239" s="14">
        <f>IF(A239="","",WEEKNUM(A239,2))</f>
        <v/>
      </c>
      <c r="O239" s="15">
        <f>IF(OR(A239="",F239=""),"",LOOKUP(F239,Lists!$F$2:$F$5,Lists!$G$2:$G$5))</f>
        <v/>
      </c>
      <c r="P239" s="16">
        <f>IF(A239="","",SUM(H239:K239))</f>
        <v/>
      </c>
      <c r="Q239" s="17">
        <f>IF(A239="","",IFERROR(P239/G239,""))</f>
        <v/>
      </c>
      <c r="R239" s="14">
        <f>IF(OR(A239="",G239=""),"",COUNTIFS($N$2:$N$1000,"&gt;0",$G$2:$G$1000,"&gt;"&amp;G239)+COUNTIFS($N$2:N239,"&gt;0",$G$2:G239,G239))</f>
        <v/>
      </c>
    </row>
    <row r="240">
      <c r="A240" s="9" t="n"/>
      <c r="B240" s="10" t="n"/>
      <c r="C240" s="10" t="n"/>
      <c r="D240" s="10" t="n"/>
      <c r="E240" s="10" t="n"/>
      <c r="F240" s="12" t="n"/>
      <c r="G240" s="13" t="n"/>
      <c r="H240" s="13" t="n"/>
      <c r="I240" s="13" t="n"/>
      <c r="J240" s="13" t="n"/>
      <c r="K240" s="13" t="n"/>
      <c r="L240" s="10" t="n"/>
      <c r="M240" s="10" t="n"/>
      <c r="N240" s="14">
        <f>IF(A240="","",WEEKNUM(A240,2))</f>
        <v/>
      </c>
      <c r="O240" s="15">
        <f>IF(OR(A240="",F240=""),"",LOOKUP(F240,Lists!$F$2:$F$5,Lists!$G$2:$G$5))</f>
        <v/>
      </c>
      <c r="P240" s="16">
        <f>IF(A240="","",SUM(H240:K240))</f>
        <v/>
      </c>
      <c r="Q240" s="17">
        <f>IF(A240="","",IFERROR(P240/G240,""))</f>
        <v/>
      </c>
      <c r="R240" s="14">
        <f>IF(OR(A240="",G240=""),"",COUNTIFS($N$2:$N$1000,"&gt;0",$G$2:$G$1000,"&gt;"&amp;G240)+COUNTIFS($N$2:N240,"&gt;0",$G$2:G240,G240))</f>
        <v/>
      </c>
    </row>
    <row r="241">
      <c r="A241" s="9" t="n"/>
      <c r="B241" s="10" t="n"/>
      <c r="C241" s="10" t="n"/>
      <c r="D241" s="10" t="n"/>
      <c r="E241" s="10" t="n"/>
      <c r="F241" s="12" t="n"/>
      <c r="G241" s="13" t="n"/>
      <c r="H241" s="13" t="n"/>
      <c r="I241" s="13" t="n"/>
      <c r="J241" s="13" t="n"/>
      <c r="K241" s="13" t="n"/>
      <c r="L241" s="10" t="n"/>
      <c r="M241" s="10" t="n"/>
      <c r="N241" s="14">
        <f>IF(A241="","",WEEKNUM(A241,2))</f>
        <v/>
      </c>
      <c r="O241" s="15">
        <f>IF(OR(A241="",F241=""),"",LOOKUP(F241,Lists!$F$2:$F$5,Lists!$G$2:$G$5))</f>
        <v/>
      </c>
      <c r="P241" s="16">
        <f>IF(A241="","",SUM(H241:K241))</f>
        <v/>
      </c>
      <c r="Q241" s="17">
        <f>IF(A241="","",IFERROR(P241/G241,""))</f>
        <v/>
      </c>
      <c r="R241" s="14">
        <f>IF(OR(A241="",G241=""),"",COUNTIFS($N$2:$N$1000,"&gt;0",$G$2:$G$1000,"&gt;"&amp;G241)+COUNTIFS($N$2:N241,"&gt;0",$G$2:G241,G241))</f>
        <v/>
      </c>
    </row>
    <row r="242">
      <c r="A242" s="9" t="n"/>
      <c r="B242" s="10" t="n"/>
      <c r="C242" s="10" t="n"/>
      <c r="D242" s="10" t="n"/>
      <c r="E242" s="10" t="n"/>
      <c r="F242" s="12" t="n"/>
      <c r="G242" s="13" t="n"/>
      <c r="H242" s="13" t="n"/>
      <c r="I242" s="13" t="n"/>
      <c r="J242" s="13" t="n"/>
      <c r="K242" s="13" t="n"/>
      <c r="L242" s="10" t="n"/>
      <c r="M242" s="10" t="n"/>
      <c r="N242" s="14">
        <f>IF(A242="","",WEEKNUM(A242,2))</f>
        <v/>
      </c>
      <c r="O242" s="15">
        <f>IF(OR(A242="",F242=""),"",LOOKUP(F242,Lists!$F$2:$F$5,Lists!$G$2:$G$5))</f>
        <v/>
      </c>
      <c r="P242" s="16">
        <f>IF(A242="","",SUM(H242:K242))</f>
        <v/>
      </c>
      <c r="Q242" s="17">
        <f>IF(A242="","",IFERROR(P242/G242,""))</f>
        <v/>
      </c>
      <c r="R242" s="14">
        <f>IF(OR(A242="",G242=""),"",COUNTIFS($N$2:$N$1000,"&gt;0",$G$2:$G$1000,"&gt;"&amp;G242)+COUNTIFS($N$2:N242,"&gt;0",$G$2:G242,G242))</f>
        <v/>
      </c>
    </row>
    <row r="243">
      <c r="A243" s="9" t="n"/>
      <c r="B243" s="10" t="n"/>
      <c r="C243" s="10" t="n"/>
      <c r="D243" s="10" t="n"/>
      <c r="E243" s="10" t="n"/>
      <c r="F243" s="12" t="n"/>
      <c r="G243" s="13" t="n"/>
      <c r="H243" s="13" t="n"/>
      <c r="I243" s="13" t="n"/>
      <c r="J243" s="13" t="n"/>
      <c r="K243" s="13" t="n"/>
      <c r="L243" s="10" t="n"/>
      <c r="M243" s="10" t="n"/>
      <c r="N243" s="14">
        <f>IF(A243="","",WEEKNUM(A243,2))</f>
        <v/>
      </c>
      <c r="O243" s="15">
        <f>IF(OR(A243="",F243=""),"",LOOKUP(F243,Lists!$F$2:$F$5,Lists!$G$2:$G$5))</f>
        <v/>
      </c>
      <c r="P243" s="16">
        <f>IF(A243="","",SUM(H243:K243))</f>
        <v/>
      </c>
      <c r="Q243" s="17">
        <f>IF(A243="","",IFERROR(P243/G243,""))</f>
        <v/>
      </c>
      <c r="R243" s="14">
        <f>IF(OR(A243="",G243=""),"",COUNTIFS($N$2:$N$1000,"&gt;0",$G$2:$G$1000,"&gt;"&amp;G243)+COUNTIFS($N$2:N243,"&gt;0",$G$2:G243,G243))</f>
        <v/>
      </c>
    </row>
    <row r="244">
      <c r="A244" s="9" t="n"/>
      <c r="B244" s="10" t="n"/>
      <c r="C244" s="10" t="n"/>
      <c r="D244" s="10" t="n"/>
      <c r="E244" s="10" t="n"/>
      <c r="F244" s="12" t="n"/>
      <c r="G244" s="13" t="n"/>
      <c r="H244" s="13" t="n"/>
      <c r="I244" s="13" t="n"/>
      <c r="J244" s="13" t="n"/>
      <c r="K244" s="13" t="n"/>
      <c r="L244" s="10" t="n"/>
      <c r="M244" s="10" t="n"/>
      <c r="N244" s="14">
        <f>IF(A244="","",WEEKNUM(A244,2))</f>
        <v/>
      </c>
      <c r="O244" s="15">
        <f>IF(OR(A244="",F244=""),"",LOOKUP(F244,Lists!$F$2:$F$5,Lists!$G$2:$G$5))</f>
        <v/>
      </c>
      <c r="P244" s="16">
        <f>IF(A244="","",SUM(H244:K244))</f>
        <v/>
      </c>
      <c r="Q244" s="17">
        <f>IF(A244="","",IFERROR(P244/G244,""))</f>
        <v/>
      </c>
      <c r="R244" s="14">
        <f>IF(OR(A244="",G244=""),"",COUNTIFS($N$2:$N$1000,"&gt;0",$G$2:$G$1000,"&gt;"&amp;G244)+COUNTIFS($N$2:N244,"&gt;0",$G$2:G244,G244))</f>
        <v/>
      </c>
    </row>
    <row r="245">
      <c r="A245" s="9" t="n"/>
      <c r="B245" s="10" t="n"/>
      <c r="C245" s="10" t="n"/>
      <c r="D245" s="10" t="n"/>
      <c r="E245" s="10" t="n"/>
      <c r="F245" s="12" t="n"/>
      <c r="G245" s="13" t="n"/>
      <c r="H245" s="13" t="n"/>
      <c r="I245" s="13" t="n"/>
      <c r="J245" s="13" t="n"/>
      <c r="K245" s="13" t="n"/>
      <c r="L245" s="10" t="n"/>
      <c r="M245" s="10" t="n"/>
      <c r="N245" s="14">
        <f>IF(A245="","",WEEKNUM(A245,2))</f>
        <v/>
      </c>
      <c r="O245" s="15">
        <f>IF(OR(A245="",F245=""),"",LOOKUP(F245,Lists!$F$2:$F$5,Lists!$G$2:$G$5))</f>
        <v/>
      </c>
      <c r="P245" s="16">
        <f>IF(A245="","",SUM(H245:K245))</f>
        <v/>
      </c>
      <c r="Q245" s="17">
        <f>IF(A245="","",IFERROR(P245/G245,""))</f>
        <v/>
      </c>
      <c r="R245" s="14">
        <f>IF(OR(A245="",G245=""),"",COUNTIFS($N$2:$N$1000,"&gt;0",$G$2:$G$1000,"&gt;"&amp;G245)+COUNTIFS($N$2:N245,"&gt;0",$G$2:G245,G245))</f>
        <v/>
      </c>
    </row>
    <row r="246">
      <c r="A246" s="9" t="n"/>
      <c r="B246" s="10" t="n"/>
      <c r="C246" s="10" t="n"/>
      <c r="D246" s="10" t="n"/>
      <c r="E246" s="10" t="n"/>
      <c r="F246" s="12" t="n"/>
      <c r="G246" s="13" t="n"/>
      <c r="H246" s="13" t="n"/>
      <c r="I246" s="13" t="n"/>
      <c r="J246" s="13" t="n"/>
      <c r="K246" s="13" t="n"/>
      <c r="L246" s="10" t="n"/>
      <c r="M246" s="10" t="n"/>
      <c r="N246" s="14">
        <f>IF(A246="","",WEEKNUM(A246,2))</f>
        <v/>
      </c>
      <c r="O246" s="15">
        <f>IF(OR(A246="",F246=""),"",LOOKUP(F246,Lists!$F$2:$F$5,Lists!$G$2:$G$5))</f>
        <v/>
      </c>
      <c r="P246" s="16">
        <f>IF(A246="","",SUM(H246:K246))</f>
        <v/>
      </c>
      <c r="Q246" s="17">
        <f>IF(A246="","",IFERROR(P246/G246,""))</f>
        <v/>
      </c>
      <c r="R246" s="14">
        <f>IF(OR(A246="",G246=""),"",COUNTIFS($N$2:$N$1000,"&gt;0",$G$2:$G$1000,"&gt;"&amp;G246)+COUNTIFS($N$2:N246,"&gt;0",$G$2:G246,G246))</f>
        <v/>
      </c>
    </row>
    <row r="247">
      <c r="A247" s="9" t="n"/>
      <c r="B247" s="10" t="n"/>
      <c r="C247" s="10" t="n"/>
      <c r="D247" s="10" t="n"/>
      <c r="E247" s="10" t="n"/>
      <c r="F247" s="12" t="n"/>
      <c r="G247" s="13" t="n"/>
      <c r="H247" s="13" t="n"/>
      <c r="I247" s="13" t="n"/>
      <c r="J247" s="13" t="n"/>
      <c r="K247" s="13" t="n"/>
      <c r="L247" s="10" t="n"/>
      <c r="M247" s="10" t="n"/>
      <c r="N247" s="14">
        <f>IF(A247="","",WEEKNUM(A247,2))</f>
        <v/>
      </c>
      <c r="O247" s="15">
        <f>IF(OR(A247="",F247=""),"",LOOKUP(F247,Lists!$F$2:$F$5,Lists!$G$2:$G$5))</f>
        <v/>
      </c>
      <c r="P247" s="16">
        <f>IF(A247="","",SUM(H247:K247))</f>
        <v/>
      </c>
      <c r="Q247" s="17">
        <f>IF(A247="","",IFERROR(P247/G247,""))</f>
        <v/>
      </c>
      <c r="R247" s="14">
        <f>IF(OR(A247="",G247=""),"",COUNTIFS($N$2:$N$1000,"&gt;0",$G$2:$G$1000,"&gt;"&amp;G247)+COUNTIFS($N$2:N247,"&gt;0",$G$2:G247,G247))</f>
        <v/>
      </c>
    </row>
    <row r="248">
      <c r="A248" s="9" t="n"/>
      <c r="B248" s="10" t="n"/>
      <c r="C248" s="10" t="n"/>
      <c r="D248" s="10" t="n"/>
      <c r="E248" s="10" t="n"/>
      <c r="F248" s="12" t="n"/>
      <c r="G248" s="13" t="n"/>
      <c r="H248" s="13" t="n"/>
      <c r="I248" s="13" t="n"/>
      <c r="J248" s="13" t="n"/>
      <c r="K248" s="13" t="n"/>
      <c r="L248" s="10" t="n"/>
      <c r="M248" s="10" t="n"/>
      <c r="N248" s="14">
        <f>IF(A248="","",WEEKNUM(A248,2))</f>
        <v/>
      </c>
      <c r="O248" s="15">
        <f>IF(OR(A248="",F248=""),"",LOOKUP(F248,Lists!$F$2:$F$5,Lists!$G$2:$G$5))</f>
        <v/>
      </c>
      <c r="P248" s="16">
        <f>IF(A248="","",SUM(H248:K248))</f>
        <v/>
      </c>
      <c r="Q248" s="17">
        <f>IF(A248="","",IFERROR(P248/G248,""))</f>
        <v/>
      </c>
      <c r="R248" s="14">
        <f>IF(OR(A248="",G248=""),"",COUNTIFS($N$2:$N$1000,"&gt;0",$G$2:$G$1000,"&gt;"&amp;G248)+COUNTIFS($N$2:N248,"&gt;0",$G$2:G248,G248))</f>
        <v/>
      </c>
    </row>
    <row r="249">
      <c r="A249" s="9" t="n"/>
      <c r="B249" s="10" t="n"/>
      <c r="C249" s="10" t="n"/>
      <c r="D249" s="10" t="n"/>
      <c r="E249" s="10" t="n"/>
      <c r="F249" s="12" t="n"/>
      <c r="G249" s="13" t="n"/>
      <c r="H249" s="13" t="n"/>
      <c r="I249" s="13" t="n"/>
      <c r="J249" s="13" t="n"/>
      <c r="K249" s="13" t="n"/>
      <c r="L249" s="10" t="n"/>
      <c r="M249" s="10" t="n"/>
      <c r="N249" s="14">
        <f>IF(A249="","",WEEKNUM(A249,2))</f>
        <v/>
      </c>
      <c r="O249" s="15">
        <f>IF(OR(A249="",F249=""),"",LOOKUP(F249,Lists!$F$2:$F$5,Lists!$G$2:$G$5))</f>
        <v/>
      </c>
      <c r="P249" s="16">
        <f>IF(A249="","",SUM(H249:K249))</f>
        <v/>
      </c>
      <c r="Q249" s="17">
        <f>IF(A249="","",IFERROR(P249/G249,""))</f>
        <v/>
      </c>
      <c r="R249" s="14">
        <f>IF(OR(A249="",G249=""),"",COUNTIFS($N$2:$N$1000,"&gt;0",$G$2:$G$1000,"&gt;"&amp;G249)+COUNTIFS($N$2:N249,"&gt;0",$G$2:G249,G249))</f>
        <v/>
      </c>
    </row>
    <row r="250">
      <c r="A250" s="9" t="n"/>
      <c r="B250" s="10" t="n"/>
      <c r="C250" s="10" t="n"/>
      <c r="D250" s="10" t="n"/>
      <c r="E250" s="10" t="n"/>
      <c r="F250" s="12" t="n"/>
      <c r="G250" s="13" t="n"/>
      <c r="H250" s="13" t="n"/>
      <c r="I250" s="13" t="n"/>
      <c r="J250" s="13" t="n"/>
      <c r="K250" s="13" t="n"/>
      <c r="L250" s="10" t="n"/>
      <c r="M250" s="10" t="n"/>
      <c r="N250" s="14">
        <f>IF(A250="","",WEEKNUM(A250,2))</f>
        <v/>
      </c>
      <c r="O250" s="15">
        <f>IF(OR(A250="",F250=""),"",LOOKUP(F250,Lists!$F$2:$F$5,Lists!$G$2:$G$5))</f>
        <v/>
      </c>
      <c r="P250" s="16">
        <f>IF(A250="","",SUM(H250:K250))</f>
        <v/>
      </c>
      <c r="Q250" s="17">
        <f>IF(A250="","",IFERROR(P250/G250,""))</f>
        <v/>
      </c>
      <c r="R250" s="14">
        <f>IF(OR(A250="",G250=""),"",COUNTIFS($N$2:$N$1000,"&gt;0",$G$2:$G$1000,"&gt;"&amp;G250)+COUNTIFS($N$2:N250,"&gt;0",$G$2:G250,G250))</f>
        <v/>
      </c>
    </row>
    <row r="251">
      <c r="A251" s="9" t="n"/>
      <c r="B251" s="10" t="n"/>
      <c r="C251" s="10" t="n"/>
      <c r="D251" s="10" t="n"/>
      <c r="E251" s="10" t="n"/>
      <c r="F251" s="12" t="n"/>
      <c r="G251" s="13" t="n"/>
      <c r="H251" s="13" t="n"/>
      <c r="I251" s="13" t="n"/>
      <c r="J251" s="13" t="n"/>
      <c r="K251" s="13" t="n"/>
      <c r="L251" s="10" t="n"/>
      <c r="M251" s="10" t="n"/>
      <c r="N251" s="14">
        <f>IF(A251="","",WEEKNUM(A251,2))</f>
        <v/>
      </c>
      <c r="O251" s="15">
        <f>IF(OR(A251="",F251=""),"",LOOKUP(F251,Lists!$F$2:$F$5,Lists!$G$2:$G$5))</f>
        <v/>
      </c>
      <c r="P251" s="16">
        <f>IF(A251="","",SUM(H251:K251))</f>
        <v/>
      </c>
      <c r="Q251" s="17">
        <f>IF(A251="","",IFERROR(P251/G251,""))</f>
        <v/>
      </c>
      <c r="R251" s="14">
        <f>IF(OR(A251="",G251=""),"",COUNTIFS($N$2:$N$1000,"&gt;0",$G$2:$G$1000,"&gt;"&amp;G251)+COUNTIFS($N$2:N251,"&gt;0",$G$2:G251,G251))</f>
        <v/>
      </c>
    </row>
    <row r="252">
      <c r="A252" s="9" t="n"/>
      <c r="B252" s="10" t="n"/>
      <c r="C252" s="10" t="n"/>
      <c r="D252" s="10" t="n"/>
      <c r="E252" s="10" t="n"/>
      <c r="F252" s="12" t="n"/>
      <c r="G252" s="13" t="n"/>
      <c r="H252" s="13" t="n"/>
      <c r="I252" s="13" t="n"/>
      <c r="J252" s="13" t="n"/>
      <c r="K252" s="13" t="n"/>
      <c r="L252" s="10" t="n"/>
      <c r="M252" s="10" t="n"/>
      <c r="N252" s="14">
        <f>IF(A252="","",WEEKNUM(A252,2))</f>
        <v/>
      </c>
      <c r="O252" s="15">
        <f>IF(OR(A252="",F252=""),"",LOOKUP(F252,Lists!$F$2:$F$5,Lists!$G$2:$G$5))</f>
        <v/>
      </c>
      <c r="P252" s="16">
        <f>IF(A252="","",SUM(H252:K252))</f>
        <v/>
      </c>
      <c r="Q252" s="17">
        <f>IF(A252="","",IFERROR(P252/G252,""))</f>
        <v/>
      </c>
      <c r="R252" s="14">
        <f>IF(OR(A252="",G252=""),"",COUNTIFS($N$2:$N$1000,"&gt;0",$G$2:$G$1000,"&gt;"&amp;G252)+COUNTIFS($N$2:N252,"&gt;0",$G$2:G252,G252))</f>
        <v/>
      </c>
    </row>
    <row r="253">
      <c r="A253" s="9" t="n"/>
      <c r="B253" s="10" t="n"/>
      <c r="C253" s="10" t="n"/>
      <c r="D253" s="10" t="n"/>
      <c r="E253" s="10" t="n"/>
      <c r="F253" s="12" t="n"/>
      <c r="G253" s="13" t="n"/>
      <c r="H253" s="13" t="n"/>
      <c r="I253" s="13" t="n"/>
      <c r="J253" s="13" t="n"/>
      <c r="K253" s="13" t="n"/>
      <c r="L253" s="10" t="n"/>
      <c r="M253" s="10" t="n"/>
      <c r="N253" s="14">
        <f>IF(A253="","",WEEKNUM(A253,2))</f>
        <v/>
      </c>
      <c r="O253" s="15">
        <f>IF(OR(A253="",F253=""),"",LOOKUP(F253,Lists!$F$2:$F$5,Lists!$G$2:$G$5))</f>
        <v/>
      </c>
      <c r="P253" s="16">
        <f>IF(A253="","",SUM(H253:K253))</f>
        <v/>
      </c>
      <c r="Q253" s="17">
        <f>IF(A253="","",IFERROR(P253/G253,""))</f>
        <v/>
      </c>
      <c r="R253" s="14">
        <f>IF(OR(A253="",G253=""),"",COUNTIFS($N$2:$N$1000,"&gt;0",$G$2:$G$1000,"&gt;"&amp;G253)+COUNTIFS($N$2:N253,"&gt;0",$G$2:G253,G253))</f>
        <v/>
      </c>
    </row>
    <row r="254">
      <c r="A254" s="9" t="n"/>
      <c r="B254" s="10" t="n"/>
      <c r="C254" s="10" t="n"/>
      <c r="D254" s="10" t="n"/>
      <c r="E254" s="10" t="n"/>
      <c r="F254" s="12" t="n"/>
      <c r="G254" s="13" t="n"/>
      <c r="H254" s="13" t="n"/>
      <c r="I254" s="13" t="n"/>
      <c r="J254" s="13" t="n"/>
      <c r="K254" s="13" t="n"/>
      <c r="L254" s="10" t="n"/>
      <c r="M254" s="10" t="n"/>
      <c r="N254" s="14">
        <f>IF(A254="","",WEEKNUM(A254,2))</f>
        <v/>
      </c>
      <c r="O254" s="15">
        <f>IF(OR(A254="",F254=""),"",LOOKUP(F254,Lists!$F$2:$F$5,Lists!$G$2:$G$5))</f>
        <v/>
      </c>
      <c r="P254" s="16">
        <f>IF(A254="","",SUM(H254:K254))</f>
        <v/>
      </c>
      <c r="Q254" s="17">
        <f>IF(A254="","",IFERROR(P254/G254,""))</f>
        <v/>
      </c>
      <c r="R254" s="14">
        <f>IF(OR(A254="",G254=""),"",COUNTIFS($N$2:$N$1000,"&gt;0",$G$2:$G$1000,"&gt;"&amp;G254)+COUNTIFS($N$2:N254,"&gt;0",$G$2:G254,G254))</f>
        <v/>
      </c>
    </row>
    <row r="255">
      <c r="A255" s="9" t="n"/>
      <c r="B255" s="10" t="n"/>
      <c r="C255" s="10" t="n"/>
      <c r="D255" s="10" t="n"/>
      <c r="E255" s="10" t="n"/>
      <c r="F255" s="12" t="n"/>
      <c r="G255" s="13" t="n"/>
      <c r="H255" s="13" t="n"/>
      <c r="I255" s="13" t="n"/>
      <c r="J255" s="13" t="n"/>
      <c r="K255" s="13" t="n"/>
      <c r="L255" s="10" t="n"/>
      <c r="M255" s="10" t="n"/>
      <c r="N255" s="14">
        <f>IF(A255="","",WEEKNUM(A255,2))</f>
        <v/>
      </c>
      <c r="O255" s="15">
        <f>IF(OR(A255="",F255=""),"",LOOKUP(F255,Lists!$F$2:$F$5,Lists!$G$2:$G$5))</f>
        <v/>
      </c>
      <c r="P255" s="16">
        <f>IF(A255="","",SUM(H255:K255))</f>
        <v/>
      </c>
      <c r="Q255" s="17">
        <f>IF(A255="","",IFERROR(P255/G255,""))</f>
        <v/>
      </c>
      <c r="R255" s="14">
        <f>IF(OR(A255="",G255=""),"",COUNTIFS($N$2:$N$1000,"&gt;0",$G$2:$G$1000,"&gt;"&amp;G255)+COUNTIFS($N$2:N255,"&gt;0",$G$2:G255,G255))</f>
        <v/>
      </c>
    </row>
    <row r="256">
      <c r="A256" s="9" t="n"/>
      <c r="B256" s="10" t="n"/>
      <c r="C256" s="10" t="n"/>
      <c r="D256" s="10" t="n"/>
      <c r="E256" s="10" t="n"/>
      <c r="F256" s="12" t="n"/>
      <c r="G256" s="13" t="n"/>
      <c r="H256" s="13" t="n"/>
      <c r="I256" s="13" t="n"/>
      <c r="J256" s="13" t="n"/>
      <c r="K256" s="13" t="n"/>
      <c r="L256" s="10" t="n"/>
      <c r="M256" s="10" t="n"/>
      <c r="N256" s="14">
        <f>IF(A256="","",WEEKNUM(A256,2))</f>
        <v/>
      </c>
      <c r="O256" s="15">
        <f>IF(OR(A256="",F256=""),"",LOOKUP(F256,Lists!$F$2:$F$5,Lists!$G$2:$G$5))</f>
        <v/>
      </c>
      <c r="P256" s="16">
        <f>IF(A256="","",SUM(H256:K256))</f>
        <v/>
      </c>
      <c r="Q256" s="17">
        <f>IF(A256="","",IFERROR(P256/G256,""))</f>
        <v/>
      </c>
      <c r="R256" s="14">
        <f>IF(OR(A256="",G256=""),"",COUNTIFS($N$2:$N$1000,"&gt;0",$G$2:$G$1000,"&gt;"&amp;G256)+COUNTIFS($N$2:N256,"&gt;0",$G$2:G256,G256))</f>
        <v/>
      </c>
    </row>
    <row r="257">
      <c r="A257" s="9" t="n"/>
      <c r="B257" s="10" t="n"/>
      <c r="C257" s="10" t="n"/>
      <c r="D257" s="10" t="n"/>
      <c r="E257" s="10" t="n"/>
      <c r="F257" s="12" t="n"/>
      <c r="G257" s="13" t="n"/>
      <c r="H257" s="13" t="n"/>
      <c r="I257" s="13" t="n"/>
      <c r="J257" s="13" t="n"/>
      <c r="K257" s="13" t="n"/>
      <c r="L257" s="10" t="n"/>
      <c r="M257" s="10" t="n"/>
      <c r="N257" s="14">
        <f>IF(A257="","",WEEKNUM(A257,2))</f>
        <v/>
      </c>
      <c r="O257" s="15">
        <f>IF(OR(A257="",F257=""),"",LOOKUP(F257,Lists!$F$2:$F$5,Lists!$G$2:$G$5))</f>
        <v/>
      </c>
      <c r="P257" s="16">
        <f>IF(A257="","",SUM(H257:K257))</f>
        <v/>
      </c>
      <c r="Q257" s="17">
        <f>IF(A257="","",IFERROR(P257/G257,""))</f>
        <v/>
      </c>
      <c r="R257" s="14">
        <f>IF(OR(A257="",G257=""),"",COUNTIFS($N$2:$N$1000,"&gt;0",$G$2:$G$1000,"&gt;"&amp;G257)+COUNTIFS($N$2:N257,"&gt;0",$G$2:G257,G257))</f>
        <v/>
      </c>
    </row>
    <row r="258">
      <c r="A258" s="9" t="n"/>
      <c r="B258" s="10" t="n"/>
      <c r="C258" s="10" t="n"/>
      <c r="D258" s="10" t="n"/>
      <c r="E258" s="10" t="n"/>
      <c r="F258" s="12" t="n"/>
      <c r="G258" s="13" t="n"/>
      <c r="H258" s="13" t="n"/>
      <c r="I258" s="13" t="n"/>
      <c r="J258" s="13" t="n"/>
      <c r="K258" s="13" t="n"/>
      <c r="L258" s="10" t="n"/>
      <c r="M258" s="10" t="n"/>
      <c r="N258" s="14">
        <f>IF(A258="","",WEEKNUM(A258,2))</f>
        <v/>
      </c>
      <c r="O258" s="15">
        <f>IF(OR(A258="",F258=""),"",LOOKUP(F258,Lists!$F$2:$F$5,Lists!$G$2:$G$5))</f>
        <v/>
      </c>
      <c r="P258" s="16">
        <f>IF(A258="","",SUM(H258:K258))</f>
        <v/>
      </c>
      <c r="Q258" s="17">
        <f>IF(A258="","",IFERROR(P258/G258,""))</f>
        <v/>
      </c>
      <c r="R258" s="14">
        <f>IF(OR(A258="",G258=""),"",COUNTIFS($N$2:$N$1000,"&gt;0",$G$2:$G$1000,"&gt;"&amp;G258)+COUNTIFS($N$2:N258,"&gt;0",$G$2:G258,G258))</f>
        <v/>
      </c>
    </row>
    <row r="259">
      <c r="A259" s="9" t="n"/>
      <c r="B259" s="10" t="n"/>
      <c r="C259" s="10" t="n"/>
      <c r="D259" s="10" t="n"/>
      <c r="E259" s="10" t="n"/>
      <c r="F259" s="12" t="n"/>
      <c r="G259" s="13" t="n"/>
      <c r="H259" s="13" t="n"/>
      <c r="I259" s="13" t="n"/>
      <c r="J259" s="13" t="n"/>
      <c r="K259" s="13" t="n"/>
      <c r="L259" s="10" t="n"/>
      <c r="M259" s="10" t="n"/>
      <c r="N259" s="14">
        <f>IF(A259="","",WEEKNUM(A259,2))</f>
        <v/>
      </c>
      <c r="O259" s="15">
        <f>IF(OR(A259="",F259=""),"",LOOKUP(F259,Lists!$F$2:$F$5,Lists!$G$2:$G$5))</f>
        <v/>
      </c>
      <c r="P259" s="16">
        <f>IF(A259="","",SUM(H259:K259))</f>
        <v/>
      </c>
      <c r="Q259" s="17">
        <f>IF(A259="","",IFERROR(P259/G259,""))</f>
        <v/>
      </c>
      <c r="R259" s="14">
        <f>IF(OR(A259="",G259=""),"",COUNTIFS($N$2:$N$1000,"&gt;0",$G$2:$G$1000,"&gt;"&amp;G259)+COUNTIFS($N$2:N259,"&gt;0",$G$2:G259,G259))</f>
        <v/>
      </c>
    </row>
    <row r="260">
      <c r="A260" s="9" t="n"/>
      <c r="B260" s="10" t="n"/>
      <c r="C260" s="10" t="n"/>
      <c r="D260" s="10" t="n"/>
      <c r="E260" s="10" t="n"/>
      <c r="F260" s="12" t="n"/>
      <c r="G260" s="13" t="n"/>
      <c r="H260" s="13" t="n"/>
      <c r="I260" s="13" t="n"/>
      <c r="J260" s="13" t="n"/>
      <c r="K260" s="13" t="n"/>
      <c r="L260" s="10" t="n"/>
      <c r="M260" s="10" t="n"/>
      <c r="N260" s="14">
        <f>IF(A260="","",WEEKNUM(A260,2))</f>
        <v/>
      </c>
      <c r="O260" s="15">
        <f>IF(OR(A260="",F260=""),"",LOOKUP(F260,Lists!$F$2:$F$5,Lists!$G$2:$G$5))</f>
        <v/>
      </c>
      <c r="P260" s="16">
        <f>IF(A260="","",SUM(H260:K260))</f>
        <v/>
      </c>
      <c r="Q260" s="17">
        <f>IF(A260="","",IFERROR(P260/G260,""))</f>
        <v/>
      </c>
      <c r="R260" s="14">
        <f>IF(OR(A260="",G260=""),"",COUNTIFS($N$2:$N$1000,"&gt;0",$G$2:$G$1000,"&gt;"&amp;G260)+COUNTIFS($N$2:N260,"&gt;0",$G$2:G260,G260))</f>
        <v/>
      </c>
    </row>
    <row r="261">
      <c r="A261" s="9" t="n"/>
      <c r="B261" s="10" t="n"/>
      <c r="C261" s="10" t="n"/>
      <c r="D261" s="10" t="n"/>
      <c r="E261" s="10" t="n"/>
      <c r="F261" s="12" t="n"/>
      <c r="G261" s="13" t="n"/>
      <c r="H261" s="13" t="n"/>
      <c r="I261" s="13" t="n"/>
      <c r="J261" s="13" t="n"/>
      <c r="K261" s="13" t="n"/>
      <c r="L261" s="10" t="n"/>
      <c r="M261" s="10" t="n"/>
      <c r="N261" s="14">
        <f>IF(A261="","",WEEKNUM(A261,2))</f>
        <v/>
      </c>
      <c r="O261" s="15">
        <f>IF(OR(A261="",F261=""),"",LOOKUP(F261,Lists!$F$2:$F$5,Lists!$G$2:$G$5))</f>
        <v/>
      </c>
      <c r="P261" s="16">
        <f>IF(A261="","",SUM(H261:K261))</f>
        <v/>
      </c>
      <c r="Q261" s="17">
        <f>IF(A261="","",IFERROR(P261/G261,""))</f>
        <v/>
      </c>
      <c r="R261" s="14">
        <f>IF(OR(A261="",G261=""),"",COUNTIFS($N$2:$N$1000,"&gt;0",$G$2:$G$1000,"&gt;"&amp;G261)+COUNTIFS($N$2:N261,"&gt;0",$G$2:G261,G261))</f>
        <v/>
      </c>
    </row>
    <row r="262">
      <c r="A262" s="9" t="n"/>
      <c r="B262" s="10" t="n"/>
      <c r="C262" s="10" t="n"/>
      <c r="D262" s="10" t="n"/>
      <c r="E262" s="10" t="n"/>
      <c r="F262" s="12" t="n"/>
      <c r="G262" s="13" t="n"/>
      <c r="H262" s="13" t="n"/>
      <c r="I262" s="13" t="n"/>
      <c r="J262" s="13" t="n"/>
      <c r="K262" s="13" t="n"/>
      <c r="L262" s="10" t="n"/>
      <c r="M262" s="10" t="n"/>
      <c r="N262" s="14">
        <f>IF(A262="","",WEEKNUM(A262,2))</f>
        <v/>
      </c>
      <c r="O262" s="15">
        <f>IF(OR(A262="",F262=""),"",LOOKUP(F262,Lists!$F$2:$F$5,Lists!$G$2:$G$5))</f>
        <v/>
      </c>
      <c r="P262" s="16">
        <f>IF(A262="","",SUM(H262:K262))</f>
        <v/>
      </c>
      <c r="Q262" s="17">
        <f>IF(A262="","",IFERROR(P262/G262,""))</f>
        <v/>
      </c>
      <c r="R262" s="14">
        <f>IF(OR(A262="",G262=""),"",COUNTIFS($N$2:$N$1000,"&gt;0",$G$2:$G$1000,"&gt;"&amp;G262)+COUNTIFS($N$2:N262,"&gt;0",$G$2:G262,G262))</f>
        <v/>
      </c>
    </row>
    <row r="263">
      <c r="A263" s="9" t="n"/>
      <c r="B263" s="10" t="n"/>
      <c r="C263" s="10" t="n"/>
      <c r="D263" s="10" t="n"/>
      <c r="E263" s="10" t="n"/>
      <c r="F263" s="12" t="n"/>
      <c r="G263" s="13" t="n"/>
      <c r="H263" s="13" t="n"/>
      <c r="I263" s="13" t="n"/>
      <c r="J263" s="13" t="n"/>
      <c r="K263" s="13" t="n"/>
      <c r="L263" s="10" t="n"/>
      <c r="M263" s="10" t="n"/>
      <c r="N263" s="14">
        <f>IF(A263="","",WEEKNUM(A263,2))</f>
        <v/>
      </c>
      <c r="O263" s="15">
        <f>IF(OR(A263="",F263=""),"",LOOKUP(F263,Lists!$F$2:$F$5,Lists!$G$2:$G$5))</f>
        <v/>
      </c>
      <c r="P263" s="16">
        <f>IF(A263="","",SUM(H263:K263))</f>
        <v/>
      </c>
      <c r="Q263" s="17">
        <f>IF(A263="","",IFERROR(P263/G263,""))</f>
        <v/>
      </c>
      <c r="R263" s="14">
        <f>IF(OR(A263="",G263=""),"",COUNTIFS($N$2:$N$1000,"&gt;0",$G$2:$G$1000,"&gt;"&amp;G263)+COUNTIFS($N$2:N263,"&gt;0",$G$2:G263,G263))</f>
        <v/>
      </c>
    </row>
    <row r="264">
      <c r="A264" s="9" t="n"/>
      <c r="B264" s="10" t="n"/>
      <c r="C264" s="10" t="n"/>
      <c r="D264" s="10" t="n"/>
      <c r="E264" s="10" t="n"/>
      <c r="F264" s="12" t="n"/>
      <c r="G264" s="13" t="n"/>
      <c r="H264" s="13" t="n"/>
      <c r="I264" s="13" t="n"/>
      <c r="J264" s="13" t="n"/>
      <c r="K264" s="13" t="n"/>
      <c r="L264" s="10" t="n"/>
      <c r="M264" s="10" t="n"/>
      <c r="N264" s="14">
        <f>IF(A264="","",WEEKNUM(A264,2))</f>
        <v/>
      </c>
      <c r="O264" s="15">
        <f>IF(OR(A264="",F264=""),"",LOOKUP(F264,Lists!$F$2:$F$5,Lists!$G$2:$G$5))</f>
        <v/>
      </c>
      <c r="P264" s="16">
        <f>IF(A264="","",SUM(H264:K264))</f>
        <v/>
      </c>
      <c r="Q264" s="17">
        <f>IF(A264="","",IFERROR(P264/G264,""))</f>
        <v/>
      </c>
      <c r="R264" s="14">
        <f>IF(OR(A264="",G264=""),"",COUNTIFS($N$2:$N$1000,"&gt;0",$G$2:$G$1000,"&gt;"&amp;G264)+COUNTIFS($N$2:N264,"&gt;0",$G$2:G264,G264))</f>
        <v/>
      </c>
    </row>
    <row r="265">
      <c r="A265" s="9" t="n"/>
      <c r="B265" s="10" t="n"/>
      <c r="C265" s="10" t="n"/>
      <c r="D265" s="10" t="n"/>
      <c r="E265" s="10" t="n"/>
      <c r="F265" s="12" t="n"/>
      <c r="G265" s="13" t="n"/>
      <c r="H265" s="13" t="n"/>
      <c r="I265" s="13" t="n"/>
      <c r="J265" s="13" t="n"/>
      <c r="K265" s="13" t="n"/>
      <c r="L265" s="10" t="n"/>
      <c r="M265" s="10" t="n"/>
      <c r="N265" s="14">
        <f>IF(A265="","",WEEKNUM(A265,2))</f>
        <v/>
      </c>
      <c r="O265" s="15">
        <f>IF(OR(A265="",F265=""),"",LOOKUP(F265,Lists!$F$2:$F$5,Lists!$G$2:$G$5))</f>
        <v/>
      </c>
      <c r="P265" s="16">
        <f>IF(A265="","",SUM(H265:K265))</f>
        <v/>
      </c>
      <c r="Q265" s="17">
        <f>IF(A265="","",IFERROR(P265/G265,""))</f>
        <v/>
      </c>
      <c r="R265" s="14">
        <f>IF(OR(A265="",G265=""),"",COUNTIFS($N$2:$N$1000,"&gt;0",$G$2:$G$1000,"&gt;"&amp;G265)+COUNTIFS($N$2:N265,"&gt;0",$G$2:G265,G265))</f>
        <v/>
      </c>
    </row>
    <row r="266">
      <c r="A266" s="9" t="n"/>
      <c r="B266" s="10" t="n"/>
      <c r="C266" s="10" t="n"/>
      <c r="D266" s="10" t="n"/>
      <c r="E266" s="10" t="n"/>
      <c r="F266" s="12" t="n"/>
      <c r="G266" s="13" t="n"/>
      <c r="H266" s="13" t="n"/>
      <c r="I266" s="13" t="n"/>
      <c r="J266" s="13" t="n"/>
      <c r="K266" s="13" t="n"/>
      <c r="L266" s="10" t="n"/>
      <c r="M266" s="10" t="n"/>
      <c r="N266" s="14">
        <f>IF(A266="","",WEEKNUM(A266,2))</f>
        <v/>
      </c>
      <c r="O266" s="15">
        <f>IF(OR(A266="",F266=""),"",LOOKUP(F266,Lists!$F$2:$F$5,Lists!$G$2:$G$5))</f>
        <v/>
      </c>
      <c r="P266" s="16">
        <f>IF(A266="","",SUM(H266:K266))</f>
        <v/>
      </c>
      <c r="Q266" s="17">
        <f>IF(A266="","",IFERROR(P266/G266,""))</f>
        <v/>
      </c>
      <c r="R266" s="14">
        <f>IF(OR(A266="",G266=""),"",COUNTIFS($N$2:$N$1000,"&gt;0",$G$2:$G$1000,"&gt;"&amp;G266)+COUNTIFS($N$2:N266,"&gt;0",$G$2:G266,G266))</f>
        <v/>
      </c>
    </row>
    <row r="267">
      <c r="A267" s="9" t="n"/>
      <c r="B267" s="10" t="n"/>
      <c r="C267" s="10" t="n"/>
      <c r="D267" s="10" t="n"/>
      <c r="E267" s="10" t="n"/>
      <c r="F267" s="12" t="n"/>
      <c r="G267" s="13" t="n"/>
      <c r="H267" s="13" t="n"/>
      <c r="I267" s="13" t="n"/>
      <c r="J267" s="13" t="n"/>
      <c r="K267" s="13" t="n"/>
      <c r="L267" s="10" t="n"/>
      <c r="M267" s="10" t="n"/>
      <c r="N267" s="14">
        <f>IF(A267="","",WEEKNUM(A267,2))</f>
        <v/>
      </c>
      <c r="O267" s="15">
        <f>IF(OR(A267="",F267=""),"",LOOKUP(F267,Lists!$F$2:$F$5,Lists!$G$2:$G$5))</f>
        <v/>
      </c>
      <c r="P267" s="16">
        <f>IF(A267="","",SUM(H267:K267))</f>
        <v/>
      </c>
      <c r="Q267" s="17">
        <f>IF(A267="","",IFERROR(P267/G267,""))</f>
        <v/>
      </c>
      <c r="R267" s="14">
        <f>IF(OR(A267="",G267=""),"",COUNTIFS($N$2:$N$1000,"&gt;0",$G$2:$G$1000,"&gt;"&amp;G267)+COUNTIFS($N$2:N267,"&gt;0",$G$2:G267,G267))</f>
        <v/>
      </c>
    </row>
    <row r="268">
      <c r="A268" s="9" t="n"/>
      <c r="B268" s="10" t="n"/>
      <c r="C268" s="10" t="n"/>
      <c r="D268" s="10" t="n"/>
      <c r="E268" s="10" t="n"/>
      <c r="F268" s="12" t="n"/>
      <c r="G268" s="13" t="n"/>
      <c r="H268" s="13" t="n"/>
      <c r="I268" s="13" t="n"/>
      <c r="J268" s="13" t="n"/>
      <c r="K268" s="13" t="n"/>
      <c r="L268" s="10" t="n"/>
      <c r="M268" s="10" t="n"/>
      <c r="N268" s="14">
        <f>IF(A268="","",WEEKNUM(A268,2))</f>
        <v/>
      </c>
      <c r="O268" s="15">
        <f>IF(OR(A268="",F268=""),"",LOOKUP(F268,Lists!$F$2:$F$5,Lists!$G$2:$G$5))</f>
        <v/>
      </c>
      <c r="P268" s="16">
        <f>IF(A268="","",SUM(H268:K268))</f>
        <v/>
      </c>
      <c r="Q268" s="17">
        <f>IF(A268="","",IFERROR(P268/G268,""))</f>
        <v/>
      </c>
      <c r="R268" s="14">
        <f>IF(OR(A268="",G268=""),"",COUNTIFS($N$2:$N$1000,"&gt;0",$G$2:$G$1000,"&gt;"&amp;G268)+COUNTIFS($N$2:N268,"&gt;0",$G$2:G268,G268))</f>
        <v/>
      </c>
    </row>
    <row r="269">
      <c r="A269" s="9" t="n"/>
      <c r="B269" s="10" t="n"/>
      <c r="C269" s="10" t="n"/>
      <c r="D269" s="10" t="n"/>
      <c r="E269" s="10" t="n"/>
      <c r="F269" s="12" t="n"/>
      <c r="G269" s="13" t="n"/>
      <c r="H269" s="13" t="n"/>
      <c r="I269" s="13" t="n"/>
      <c r="J269" s="13" t="n"/>
      <c r="K269" s="13" t="n"/>
      <c r="L269" s="10" t="n"/>
      <c r="M269" s="10" t="n"/>
      <c r="N269" s="14">
        <f>IF(A269="","",WEEKNUM(A269,2))</f>
        <v/>
      </c>
      <c r="O269" s="15">
        <f>IF(OR(A269="",F269=""),"",LOOKUP(F269,Lists!$F$2:$F$5,Lists!$G$2:$G$5))</f>
        <v/>
      </c>
      <c r="P269" s="16">
        <f>IF(A269="","",SUM(H269:K269))</f>
        <v/>
      </c>
      <c r="Q269" s="17">
        <f>IF(A269="","",IFERROR(P269/G269,""))</f>
        <v/>
      </c>
      <c r="R269" s="14">
        <f>IF(OR(A269="",G269=""),"",COUNTIFS($N$2:$N$1000,"&gt;0",$G$2:$G$1000,"&gt;"&amp;G269)+COUNTIFS($N$2:N269,"&gt;0",$G$2:G269,G269))</f>
        <v/>
      </c>
    </row>
    <row r="270">
      <c r="A270" s="9" t="n"/>
      <c r="B270" s="10" t="n"/>
      <c r="C270" s="10" t="n"/>
      <c r="D270" s="10" t="n"/>
      <c r="E270" s="10" t="n"/>
      <c r="F270" s="12" t="n"/>
      <c r="G270" s="13" t="n"/>
      <c r="H270" s="13" t="n"/>
      <c r="I270" s="13" t="n"/>
      <c r="J270" s="13" t="n"/>
      <c r="K270" s="13" t="n"/>
      <c r="L270" s="10" t="n"/>
      <c r="M270" s="10" t="n"/>
      <c r="N270" s="14">
        <f>IF(A270="","",WEEKNUM(A270,2))</f>
        <v/>
      </c>
      <c r="O270" s="15">
        <f>IF(OR(A270="",F270=""),"",LOOKUP(F270,Lists!$F$2:$F$5,Lists!$G$2:$G$5))</f>
        <v/>
      </c>
      <c r="P270" s="16">
        <f>IF(A270="","",SUM(H270:K270))</f>
        <v/>
      </c>
      <c r="Q270" s="17">
        <f>IF(A270="","",IFERROR(P270/G270,""))</f>
        <v/>
      </c>
      <c r="R270" s="14">
        <f>IF(OR(A270="",G270=""),"",COUNTIFS($N$2:$N$1000,"&gt;0",$G$2:$G$1000,"&gt;"&amp;G270)+COUNTIFS($N$2:N270,"&gt;0",$G$2:G270,G270))</f>
        <v/>
      </c>
    </row>
    <row r="271">
      <c r="A271" s="9" t="n"/>
      <c r="B271" s="10" t="n"/>
      <c r="C271" s="10" t="n"/>
      <c r="D271" s="10" t="n"/>
      <c r="E271" s="10" t="n"/>
      <c r="F271" s="12" t="n"/>
      <c r="G271" s="13" t="n"/>
      <c r="H271" s="13" t="n"/>
      <c r="I271" s="13" t="n"/>
      <c r="J271" s="13" t="n"/>
      <c r="K271" s="13" t="n"/>
      <c r="L271" s="10" t="n"/>
      <c r="M271" s="10" t="n"/>
      <c r="N271" s="14">
        <f>IF(A271="","",WEEKNUM(A271,2))</f>
        <v/>
      </c>
      <c r="O271" s="15">
        <f>IF(OR(A271="",F271=""),"",LOOKUP(F271,Lists!$F$2:$F$5,Lists!$G$2:$G$5))</f>
        <v/>
      </c>
      <c r="P271" s="16">
        <f>IF(A271="","",SUM(H271:K271))</f>
        <v/>
      </c>
      <c r="Q271" s="17">
        <f>IF(A271="","",IFERROR(P271/G271,""))</f>
        <v/>
      </c>
      <c r="R271" s="14">
        <f>IF(OR(A271="",G271=""),"",COUNTIFS($N$2:$N$1000,"&gt;0",$G$2:$G$1000,"&gt;"&amp;G271)+COUNTIFS($N$2:N271,"&gt;0",$G$2:G271,G271))</f>
        <v/>
      </c>
    </row>
    <row r="272">
      <c r="A272" s="9" t="n"/>
      <c r="B272" s="10" t="n"/>
      <c r="C272" s="10" t="n"/>
      <c r="D272" s="10" t="n"/>
      <c r="E272" s="10" t="n"/>
      <c r="F272" s="12" t="n"/>
      <c r="G272" s="13" t="n"/>
      <c r="H272" s="13" t="n"/>
      <c r="I272" s="13" t="n"/>
      <c r="J272" s="13" t="n"/>
      <c r="K272" s="13" t="n"/>
      <c r="L272" s="10" t="n"/>
      <c r="M272" s="10" t="n"/>
      <c r="N272" s="14">
        <f>IF(A272="","",WEEKNUM(A272,2))</f>
        <v/>
      </c>
      <c r="O272" s="15">
        <f>IF(OR(A272="",F272=""),"",LOOKUP(F272,Lists!$F$2:$F$5,Lists!$G$2:$G$5))</f>
        <v/>
      </c>
      <c r="P272" s="16">
        <f>IF(A272="","",SUM(H272:K272))</f>
        <v/>
      </c>
      <c r="Q272" s="17">
        <f>IF(A272="","",IFERROR(P272/G272,""))</f>
        <v/>
      </c>
      <c r="R272" s="14">
        <f>IF(OR(A272="",G272=""),"",COUNTIFS($N$2:$N$1000,"&gt;0",$G$2:$G$1000,"&gt;"&amp;G272)+COUNTIFS($N$2:N272,"&gt;0",$G$2:G272,G272))</f>
        <v/>
      </c>
    </row>
    <row r="273">
      <c r="A273" s="9" t="n"/>
      <c r="B273" s="10" t="n"/>
      <c r="C273" s="10" t="n"/>
      <c r="D273" s="10" t="n"/>
      <c r="E273" s="10" t="n"/>
      <c r="F273" s="12" t="n"/>
      <c r="G273" s="13" t="n"/>
      <c r="H273" s="13" t="n"/>
      <c r="I273" s="13" t="n"/>
      <c r="J273" s="13" t="n"/>
      <c r="K273" s="13" t="n"/>
      <c r="L273" s="10" t="n"/>
      <c r="M273" s="10" t="n"/>
      <c r="N273" s="14">
        <f>IF(A273="","",WEEKNUM(A273,2))</f>
        <v/>
      </c>
      <c r="O273" s="15">
        <f>IF(OR(A273="",F273=""),"",LOOKUP(F273,Lists!$F$2:$F$5,Lists!$G$2:$G$5))</f>
        <v/>
      </c>
      <c r="P273" s="16">
        <f>IF(A273="","",SUM(H273:K273))</f>
        <v/>
      </c>
      <c r="Q273" s="17">
        <f>IF(A273="","",IFERROR(P273/G273,""))</f>
        <v/>
      </c>
      <c r="R273" s="14">
        <f>IF(OR(A273="",G273=""),"",COUNTIFS($N$2:$N$1000,"&gt;0",$G$2:$G$1000,"&gt;"&amp;G273)+COUNTIFS($N$2:N273,"&gt;0",$G$2:G273,G273))</f>
        <v/>
      </c>
    </row>
    <row r="274">
      <c r="A274" s="9" t="n"/>
      <c r="B274" s="10" t="n"/>
      <c r="C274" s="10" t="n"/>
      <c r="D274" s="10" t="n"/>
      <c r="E274" s="10" t="n"/>
      <c r="F274" s="12" t="n"/>
      <c r="G274" s="13" t="n"/>
      <c r="H274" s="13" t="n"/>
      <c r="I274" s="13" t="n"/>
      <c r="J274" s="13" t="n"/>
      <c r="K274" s="13" t="n"/>
      <c r="L274" s="10" t="n"/>
      <c r="M274" s="10" t="n"/>
      <c r="N274" s="14">
        <f>IF(A274="","",WEEKNUM(A274,2))</f>
        <v/>
      </c>
      <c r="O274" s="15">
        <f>IF(OR(A274="",F274=""),"",LOOKUP(F274,Lists!$F$2:$F$5,Lists!$G$2:$G$5))</f>
        <v/>
      </c>
      <c r="P274" s="16">
        <f>IF(A274="","",SUM(H274:K274))</f>
        <v/>
      </c>
      <c r="Q274" s="17">
        <f>IF(A274="","",IFERROR(P274/G274,""))</f>
        <v/>
      </c>
      <c r="R274" s="14">
        <f>IF(OR(A274="",G274=""),"",COUNTIFS($N$2:$N$1000,"&gt;0",$G$2:$G$1000,"&gt;"&amp;G274)+COUNTIFS($N$2:N274,"&gt;0",$G$2:G274,G274))</f>
        <v/>
      </c>
    </row>
    <row r="275">
      <c r="A275" s="9" t="n"/>
      <c r="B275" s="10" t="n"/>
      <c r="C275" s="10" t="n"/>
      <c r="D275" s="10" t="n"/>
      <c r="E275" s="10" t="n"/>
      <c r="F275" s="12" t="n"/>
      <c r="G275" s="13" t="n"/>
      <c r="H275" s="13" t="n"/>
      <c r="I275" s="13" t="n"/>
      <c r="J275" s="13" t="n"/>
      <c r="K275" s="13" t="n"/>
      <c r="L275" s="10" t="n"/>
      <c r="M275" s="10" t="n"/>
      <c r="N275" s="14">
        <f>IF(A275="","",WEEKNUM(A275,2))</f>
        <v/>
      </c>
      <c r="O275" s="15">
        <f>IF(OR(A275="",F275=""),"",LOOKUP(F275,Lists!$F$2:$F$5,Lists!$G$2:$G$5))</f>
        <v/>
      </c>
      <c r="P275" s="16">
        <f>IF(A275="","",SUM(H275:K275))</f>
        <v/>
      </c>
      <c r="Q275" s="17">
        <f>IF(A275="","",IFERROR(P275/G275,""))</f>
        <v/>
      </c>
      <c r="R275" s="14">
        <f>IF(OR(A275="",G275=""),"",COUNTIFS($N$2:$N$1000,"&gt;0",$G$2:$G$1000,"&gt;"&amp;G275)+COUNTIFS($N$2:N275,"&gt;0",$G$2:G275,G275))</f>
        <v/>
      </c>
    </row>
    <row r="276">
      <c r="A276" s="9" t="n"/>
      <c r="B276" s="10" t="n"/>
      <c r="C276" s="10" t="n"/>
      <c r="D276" s="10" t="n"/>
      <c r="E276" s="10" t="n"/>
      <c r="F276" s="12" t="n"/>
      <c r="G276" s="13" t="n"/>
      <c r="H276" s="13" t="n"/>
      <c r="I276" s="13" t="n"/>
      <c r="J276" s="13" t="n"/>
      <c r="K276" s="13" t="n"/>
      <c r="L276" s="10" t="n"/>
      <c r="M276" s="10" t="n"/>
      <c r="N276" s="14">
        <f>IF(A276="","",WEEKNUM(A276,2))</f>
        <v/>
      </c>
      <c r="O276" s="15">
        <f>IF(OR(A276="",F276=""),"",LOOKUP(F276,Lists!$F$2:$F$5,Lists!$G$2:$G$5))</f>
        <v/>
      </c>
      <c r="P276" s="16">
        <f>IF(A276="","",SUM(H276:K276))</f>
        <v/>
      </c>
      <c r="Q276" s="17">
        <f>IF(A276="","",IFERROR(P276/G276,""))</f>
        <v/>
      </c>
      <c r="R276" s="14">
        <f>IF(OR(A276="",G276=""),"",COUNTIFS($N$2:$N$1000,"&gt;0",$G$2:$G$1000,"&gt;"&amp;G276)+COUNTIFS($N$2:N276,"&gt;0",$G$2:G276,G276))</f>
        <v/>
      </c>
    </row>
    <row r="277">
      <c r="A277" s="9" t="n"/>
      <c r="B277" s="10" t="n"/>
      <c r="C277" s="10" t="n"/>
      <c r="D277" s="10" t="n"/>
      <c r="E277" s="10" t="n"/>
      <c r="F277" s="12" t="n"/>
      <c r="G277" s="13" t="n"/>
      <c r="H277" s="13" t="n"/>
      <c r="I277" s="13" t="n"/>
      <c r="J277" s="13" t="n"/>
      <c r="K277" s="13" t="n"/>
      <c r="L277" s="10" t="n"/>
      <c r="M277" s="10" t="n"/>
      <c r="N277" s="14">
        <f>IF(A277="","",WEEKNUM(A277,2))</f>
        <v/>
      </c>
      <c r="O277" s="15">
        <f>IF(OR(A277="",F277=""),"",LOOKUP(F277,Lists!$F$2:$F$5,Lists!$G$2:$G$5))</f>
        <v/>
      </c>
      <c r="P277" s="16">
        <f>IF(A277="","",SUM(H277:K277))</f>
        <v/>
      </c>
      <c r="Q277" s="17">
        <f>IF(A277="","",IFERROR(P277/G277,""))</f>
        <v/>
      </c>
      <c r="R277" s="14">
        <f>IF(OR(A277="",G277=""),"",COUNTIFS($N$2:$N$1000,"&gt;0",$G$2:$G$1000,"&gt;"&amp;G277)+COUNTIFS($N$2:N277,"&gt;0",$G$2:G277,G277))</f>
        <v/>
      </c>
    </row>
    <row r="278">
      <c r="A278" s="9" t="n"/>
      <c r="B278" s="10" t="n"/>
      <c r="C278" s="10" t="n"/>
      <c r="D278" s="10" t="n"/>
      <c r="E278" s="10" t="n"/>
      <c r="F278" s="12" t="n"/>
      <c r="G278" s="13" t="n"/>
      <c r="H278" s="13" t="n"/>
      <c r="I278" s="13" t="n"/>
      <c r="J278" s="13" t="n"/>
      <c r="K278" s="13" t="n"/>
      <c r="L278" s="10" t="n"/>
      <c r="M278" s="10" t="n"/>
      <c r="N278" s="14">
        <f>IF(A278="","",WEEKNUM(A278,2))</f>
        <v/>
      </c>
      <c r="O278" s="15">
        <f>IF(OR(A278="",F278=""),"",LOOKUP(F278,Lists!$F$2:$F$5,Lists!$G$2:$G$5))</f>
        <v/>
      </c>
      <c r="P278" s="16">
        <f>IF(A278="","",SUM(H278:K278))</f>
        <v/>
      </c>
      <c r="Q278" s="17">
        <f>IF(A278="","",IFERROR(P278/G278,""))</f>
        <v/>
      </c>
      <c r="R278" s="14">
        <f>IF(OR(A278="",G278=""),"",COUNTIFS($N$2:$N$1000,"&gt;0",$G$2:$G$1000,"&gt;"&amp;G278)+COUNTIFS($N$2:N278,"&gt;0",$G$2:G278,G278))</f>
        <v/>
      </c>
    </row>
    <row r="279">
      <c r="A279" s="9" t="n"/>
      <c r="B279" s="10" t="n"/>
      <c r="C279" s="10" t="n"/>
      <c r="D279" s="10" t="n"/>
      <c r="E279" s="10" t="n"/>
      <c r="F279" s="12" t="n"/>
      <c r="G279" s="13" t="n"/>
      <c r="H279" s="13" t="n"/>
      <c r="I279" s="13" t="n"/>
      <c r="J279" s="13" t="n"/>
      <c r="K279" s="13" t="n"/>
      <c r="L279" s="10" t="n"/>
      <c r="M279" s="10" t="n"/>
      <c r="N279" s="14">
        <f>IF(A279="","",WEEKNUM(A279,2))</f>
        <v/>
      </c>
      <c r="O279" s="15">
        <f>IF(OR(A279="",F279=""),"",LOOKUP(F279,Lists!$F$2:$F$5,Lists!$G$2:$G$5))</f>
        <v/>
      </c>
      <c r="P279" s="16">
        <f>IF(A279="","",SUM(H279:K279))</f>
        <v/>
      </c>
      <c r="Q279" s="17">
        <f>IF(A279="","",IFERROR(P279/G279,""))</f>
        <v/>
      </c>
      <c r="R279" s="14">
        <f>IF(OR(A279="",G279=""),"",COUNTIFS($N$2:$N$1000,"&gt;0",$G$2:$G$1000,"&gt;"&amp;G279)+COUNTIFS($N$2:N279,"&gt;0",$G$2:G279,G279))</f>
        <v/>
      </c>
    </row>
    <row r="280">
      <c r="A280" s="9" t="n"/>
      <c r="B280" s="10" t="n"/>
      <c r="C280" s="10" t="n"/>
      <c r="D280" s="10" t="n"/>
      <c r="E280" s="10" t="n"/>
      <c r="F280" s="12" t="n"/>
      <c r="G280" s="13" t="n"/>
      <c r="H280" s="13" t="n"/>
      <c r="I280" s="13" t="n"/>
      <c r="J280" s="13" t="n"/>
      <c r="K280" s="13" t="n"/>
      <c r="L280" s="10" t="n"/>
      <c r="M280" s="10" t="n"/>
      <c r="N280" s="14">
        <f>IF(A280="","",WEEKNUM(A280,2))</f>
        <v/>
      </c>
      <c r="O280" s="15">
        <f>IF(OR(A280="",F280=""),"",LOOKUP(F280,Lists!$F$2:$F$5,Lists!$G$2:$G$5))</f>
        <v/>
      </c>
      <c r="P280" s="16">
        <f>IF(A280="","",SUM(H280:K280))</f>
        <v/>
      </c>
      <c r="Q280" s="17">
        <f>IF(A280="","",IFERROR(P280/G280,""))</f>
        <v/>
      </c>
      <c r="R280" s="14">
        <f>IF(OR(A280="",G280=""),"",COUNTIFS($N$2:$N$1000,"&gt;0",$G$2:$G$1000,"&gt;"&amp;G280)+COUNTIFS($N$2:N280,"&gt;0",$G$2:G280,G280))</f>
        <v/>
      </c>
    </row>
    <row r="281">
      <c r="A281" s="9" t="n"/>
      <c r="B281" s="10" t="n"/>
      <c r="C281" s="10" t="n"/>
      <c r="D281" s="10" t="n"/>
      <c r="E281" s="10" t="n"/>
      <c r="F281" s="12" t="n"/>
      <c r="G281" s="13" t="n"/>
      <c r="H281" s="13" t="n"/>
      <c r="I281" s="13" t="n"/>
      <c r="J281" s="13" t="n"/>
      <c r="K281" s="13" t="n"/>
      <c r="L281" s="10" t="n"/>
      <c r="M281" s="10" t="n"/>
      <c r="N281" s="14">
        <f>IF(A281="","",WEEKNUM(A281,2))</f>
        <v/>
      </c>
      <c r="O281" s="15">
        <f>IF(OR(A281="",F281=""),"",LOOKUP(F281,Lists!$F$2:$F$5,Lists!$G$2:$G$5))</f>
        <v/>
      </c>
      <c r="P281" s="16">
        <f>IF(A281="","",SUM(H281:K281))</f>
        <v/>
      </c>
      <c r="Q281" s="17">
        <f>IF(A281="","",IFERROR(P281/G281,""))</f>
        <v/>
      </c>
      <c r="R281" s="14">
        <f>IF(OR(A281="",G281=""),"",COUNTIFS($N$2:$N$1000,"&gt;0",$G$2:$G$1000,"&gt;"&amp;G281)+COUNTIFS($N$2:N281,"&gt;0",$G$2:G281,G281))</f>
        <v/>
      </c>
    </row>
    <row r="282">
      <c r="A282" s="9" t="n"/>
      <c r="B282" s="10" t="n"/>
      <c r="C282" s="10" t="n"/>
      <c r="D282" s="10" t="n"/>
      <c r="E282" s="10" t="n"/>
      <c r="F282" s="12" t="n"/>
      <c r="G282" s="13" t="n"/>
      <c r="H282" s="13" t="n"/>
      <c r="I282" s="13" t="n"/>
      <c r="J282" s="13" t="n"/>
      <c r="K282" s="13" t="n"/>
      <c r="L282" s="10" t="n"/>
      <c r="M282" s="10" t="n"/>
      <c r="N282" s="14">
        <f>IF(A282="","",WEEKNUM(A282,2))</f>
        <v/>
      </c>
      <c r="O282" s="15">
        <f>IF(OR(A282="",F282=""),"",LOOKUP(F282,Lists!$F$2:$F$5,Lists!$G$2:$G$5))</f>
        <v/>
      </c>
      <c r="P282" s="16">
        <f>IF(A282="","",SUM(H282:K282))</f>
        <v/>
      </c>
      <c r="Q282" s="17">
        <f>IF(A282="","",IFERROR(P282/G282,""))</f>
        <v/>
      </c>
      <c r="R282" s="14">
        <f>IF(OR(A282="",G282=""),"",COUNTIFS($N$2:$N$1000,"&gt;0",$G$2:$G$1000,"&gt;"&amp;G282)+COUNTIFS($N$2:N282,"&gt;0",$G$2:G282,G282))</f>
        <v/>
      </c>
    </row>
    <row r="283">
      <c r="A283" s="9" t="n"/>
      <c r="B283" s="10" t="n"/>
      <c r="C283" s="10" t="n"/>
      <c r="D283" s="10" t="n"/>
      <c r="E283" s="10" t="n"/>
      <c r="F283" s="12" t="n"/>
      <c r="G283" s="13" t="n"/>
      <c r="H283" s="13" t="n"/>
      <c r="I283" s="13" t="n"/>
      <c r="J283" s="13" t="n"/>
      <c r="K283" s="13" t="n"/>
      <c r="L283" s="10" t="n"/>
      <c r="M283" s="10" t="n"/>
      <c r="N283" s="14">
        <f>IF(A283="","",WEEKNUM(A283,2))</f>
        <v/>
      </c>
      <c r="O283" s="15">
        <f>IF(OR(A283="",F283=""),"",LOOKUP(F283,Lists!$F$2:$F$5,Lists!$G$2:$G$5))</f>
        <v/>
      </c>
      <c r="P283" s="16">
        <f>IF(A283="","",SUM(H283:K283))</f>
        <v/>
      </c>
      <c r="Q283" s="17">
        <f>IF(A283="","",IFERROR(P283/G283,""))</f>
        <v/>
      </c>
      <c r="R283" s="14">
        <f>IF(OR(A283="",G283=""),"",COUNTIFS($N$2:$N$1000,"&gt;0",$G$2:$G$1000,"&gt;"&amp;G283)+COUNTIFS($N$2:N283,"&gt;0",$G$2:G283,G283))</f>
        <v/>
      </c>
    </row>
    <row r="284">
      <c r="A284" s="9" t="n"/>
      <c r="B284" s="10" t="n"/>
      <c r="C284" s="10" t="n"/>
      <c r="D284" s="10" t="n"/>
      <c r="E284" s="10" t="n"/>
      <c r="F284" s="12" t="n"/>
      <c r="G284" s="13" t="n"/>
      <c r="H284" s="13" t="n"/>
      <c r="I284" s="13" t="n"/>
      <c r="J284" s="13" t="n"/>
      <c r="K284" s="13" t="n"/>
      <c r="L284" s="10" t="n"/>
      <c r="M284" s="10" t="n"/>
      <c r="N284" s="14">
        <f>IF(A284="","",WEEKNUM(A284,2))</f>
        <v/>
      </c>
      <c r="O284" s="15">
        <f>IF(OR(A284="",F284=""),"",LOOKUP(F284,Lists!$F$2:$F$5,Lists!$G$2:$G$5))</f>
        <v/>
      </c>
      <c r="P284" s="16">
        <f>IF(A284="","",SUM(H284:K284))</f>
        <v/>
      </c>
      <c r="Q284" s="17">
        <f>IF(A284="","",IFERROR(P284/G284,""))</f>
        <v/>
      </c>
      <c r="R284" s="14">
        <f>IF(OR(A284="",G284=""),"",COUNTIFS($N$2:$N$1000,"&gt;0",$G$2:$G$1000,"&gt;"&amp;G284)+COUNTIFS($N$2:N284,"&gt;0",$G$2:G284,G284))</f>
        <v/>
      </c>
    </row>
    <row r="285">
      <c r="A285" s="9" t="n"/>
      <c r="B285" s="10" t="n"/>
      <c r="C285" s="10" t="n"/>
      <c r="D285" s="10" t="n"/>
      <c r="E285" s="10" t="n"/>
      <c r="F285" s="12" t="n"/>
      <c r="G285" s="13" t="n"/>
      <c r="H285" s="13" t="n"/>
      <c r="I285" s="13" t="n"/>
      <c r="J285" s="13" t="n"/>
      <c r="K285" s="13" t="n"/>
      <c r="L285" s="10" t="n"/>
      <c r="M285" s="10" t="n"/>
      <c r="N285" s="14">
        <f>IF(A285="","",WEEKNUM(A285,2))</f>
        <v/>
      </c>
      <c r="O285" s="15">
        <f>IF(OR(A285="",F285=""),"",LOOKUP(F285,Lists!$F$2:$F$5,Lists!$G$2:$G$5))</f>
        <v/>
      </c>
      <c r="P285" s="16">
        <f>IF(A285="","",SUM(H285:K285))</f>
        <v/>
      </c>
      <c r="Q285" s="17">
        <f>IF(A285="","",IFERROR(P285/G285,""))</f>
        <v/>
      </c>
      <c r="R285" s="14">
        <f>IF(OR(A285="",G285=""),"",COUNTIFS($N$2:$N$1000,"&gt;0",$G$2:$G$1000,"&gt;"&amp;G285)+COUNTIFS($N$2:N285,"&gt;0",$G$2:G285,G285))</f>
        <v/>
      </c>
    </row>
    <row r="286">
      <c r="A286" s="9" t="n"/>
      <c r="B286" s="10" t="n"/>
      <c r="C286" s="10" t="n"/>
      <c r="D286" s="10" t="n"/>
      <c r="E286" s="10" t="n"/>
      <c r="F286" s="12" t="n"/>
      <c r="G286" s="13" t="n"/>
      <c r="H286" s="13" t="n"/>
      <c r="I286" s="13" t="n"/>
      <c r="J286" s="13" t="n"/>
      <c r="K286" s="13" t="n"/>
      <c r="L286" s="10" t="n"/>
      <c r="M286" s="10" t="n"/>
      <c r="N286" s="14">
        <f>IF(A286="","",WEEKNUM(A286,2))</f>
        <v/>
      </c>
      <c r="O286" s="15">
        <f>IF(OR(A286="",F286=""),"",LOOKUP(F286,Lists!$F$2:$F$5,Lists!$G$2:$G$5))</f>
        <v/>
      </c>
      <c r="P286" s="16">
        <f>IF(A286="","",SUM(H286:K286))</f>
        <v/>
      </c>
      <c r="Q286" s="17">
        <f>IF(A286="","",IFERROR(P286/G286,""))</f>
        <v/>
      </c>
      <c r="R286" s="14">
        <f>IF(OR(A286="",G286=""),"",COUNTIFS($N$2:$N$1000,"&gt;0",$G$2:$G$1000,"&gt;"&amp;G286)+COUNTIFS($N$2:N286,"&gt;0",$G$2:G286,G286))</f>
        <v/>
      </c>
    </row>
    <row r="287">
      <c r="A287" s="9" t="n"/>
      <c r="B287" s="10" t="n"/>
      <c r="C287" s="10" t="n"/>
      <c r="D287" s="10" t="n"/>
      <c r="E287" s="10" t="n"/>
      <c r="F287" s="12" t="n"/>
      <c r="G287" s="13" t="n"/>
      <c r="H287" s="13" t="n"/>
      <c r="I287" s="13" t="n"/>
      <c r="J287" s="13" t="n"/>
      <c r="K287" s="13" t="n"/>
      <c r="L287" s="10" t="n"/>
      <c r="M287" s="10" t="n"/>
      <c r="N287" s="14">
        <f>IF(A287="","",WEEKNUM(A287,2))</f>
        <v/>
      </c>
      <c r="O287" s="15">
        <f>IF(OR(A287="",F287=""),"",LOOKUP(F287,Lists!$F$2:$F$5,Lists!$G$2:$G$5))</f>
        <v/>
      </c>
      <c r="P287" s="16">
        <f>IF(A287="","",SUM(H287:K287))</f>
        <v/>
      </c>
      <c r="Q287" s="17">
        <f>IF(A287="","",IFERROR(P287/G287,""))</f>
        <v/>
      </c>
      <c r="R287" s="14">
        <f>IF(OR(A287="",G287=""),"",COUNTIFS($N$2:$N$1000,"&gt;0",$G$2:$G$1000,"&gt;"&amp;G287)+COUNTIFS($N$2:N287,"&gt;0",$G$2:G287,G287))</f>
        <v/>
      </c>
    </row>
    <row r="288">
      <c r="A288" s="9" t="n"/>
      <c r="B288" s="10" t="n"/>
      <c r="C288" s="10" t="n"/>
      <c r="D288" s="10" t="n"/>
      <c r="E288" s="10" t="n"/>
      <c r="F288" s="12" t="n"/>
      <c r="G288" s="13" t="n"/>
      <c r="H288" s="13" t="n"/>
      <c r="I288" s="13" t="n"/>
      <c r="J288" s="13" t="n"/>
      <c r="K288" s="13" t="n"/>
      <c r="L288" s="10" t="n"/>
      <c r="M288" s="10" t="n"/>
      <c r="N288" s="14">
        <f>IF(A288="","",WEEKNUM(A288,2))</f>
        <v/>
      </c>
      <c r="O288" s="15">
        <f>IF(OR(A288="",F288=""),"",LOOKUP(F288,Lists!$F$2:$F$5,Lists!$G$2:$G$5))</f>
        <v/>
      </c>
      <c r="P288" s="16">
        <f>IF(A288="","",SUM(H288:K288))</f>
        <v/>
      </c>
      <c r="Q288" s="17">
        <f>IF(A288="","",IFERROR(P288/G288,""))</f>
        <v/>
      </c>
      <c r="R288" s="14">
        <f>IF(OR(A288="",G288=""),"",COUNTIFS($N$2:$N$1000,"&gt;0",$G$2:$G$1000,"&gt;"&amp;G288)+COUNTIFS($N$2:N288,"&gt;0",$G$2:G288,G288))</f>
        <v/>
      </c>
    </row>
    <row r="289">
      <c r="A289" s="9" t="n"/>
      <c r="B289" s="10" t="n"/>
      <c r="C289" s="10" t="n"/>
      <c r="D289" s="10" t="n"/>
      <c r="E289" s="10" t="n"/>
      <c r="F289" s="12" t="n"/>
      <c r="G289" s="13" t="n"/>
      <c r="H289" s="13" t="n"/>
      <c r="I289" s="13" t="n"/>
      <c r="J289" s="13" t="n"/>
      <c r="K289" s="13" t="n"/>
      <c r="L289" s="10" t="n"/>
      <c r="M289" s="10" t="n"/>
      <c r="N289" s="14">
        <f>IF(A289="","",WEEKNUM(A289,2))</f>
        <v/>
      </c>
      <c r="O289" s="15">
        <f>IF(OR(A289="",F289=""),"",LOOKUP(F289,Lists!$F$2:$F$5,Lists!$G$2:$G$5))</f>
        <v/>
      </c>
      <c r="P289" s="16">
        <f>IF(A289="","",SUM(H289:K289))</f>
        <v/>
      </c>
      <c r="Q289" s="17">
        <f>IF(A289="","",IFERROR(P289/G289,""))</f>
        <v/>
      </c>
      <c r="R289" s="14">
        <f>IF(OR(A289="",G289=""),"",COUNTIFS($N$2:$N$1000,"&gt;0",$G$2:$G$1000,"&gt;"&amp;G289)+COUNTIFS($N$2:N289,"&gt;0",$G$2:G289,G289))</f>
        <v/>
      </c>
    </row>
    <row r="290">
      <c r="A290" s="9" t="n"/>
      <c r="B290" s="10" t="n"/>
      <c r="C290" s="10" t="n"/>
      <c r="D290" s="10" t="n"/>
      <c r="E290" s="10" t="n"/>
      <c r="F290" s="12" t="n"/>
      <c r="G290" s="13" t="n"/>
      <c r="H290" s="13" t="n"/>
      <c r="I290" s="13" t="n"/>
      <c r="J290" s="13" t="n"/>
      <c r="K290" s="13" t="n"/>
      <c r="L290" s="10" t="n"/>
      <c r="M290" s="10" t="n"/>
      <c r="N290" s="14">
        <f>IF(A290="","",WEEKNUM(A290,2))</f>
        <v/>
      </c>
      <c r="O290" s="15">
        <f>IF(OR(A290="",F290=""),"",LOOKUP(F290,Lists!$F$2:$F$5,Lists!$G$2:$G$5))</f>
        <v/>
      </c>
      <c r="P290" s="16">
        <f>IF(A290="","",SUM(H290:K290))</f>
        <v/>
      </c>
      <c r="Q290" s="17">
        <f>IF(A290="","",IFERROR(P290/G290,""))</f>
        <v/>
      </c>
      <c r="R290" s="14">
        <f>IF(OR(A290="",G290=""),"",COUNTIFS($N$2:$N$1000,"&gt;0",$G$2:$G$1000,"&gt;"&amp;G290)+COUNTIFS($N$2:N290,"&gt;0",$G$2:G290,G290))</f>
        <v/>
      </c>
    </row>
    <row r="291">
      <c r="A291" s="9" t="n"/>
      <c r="B291" s="10" t="n"/>
      <c r="C291" s="10" t="n"/>
      <c r="D291" s="10" t="n"/>
      <c r="E291" s="10" t="n"/>
      <c r="F291" s="12" t="n"/>
      <c r="G291" s="13" t="n"/>
      <c r="H291" s="13" t="n"/>
      <c r="I291" s="13" t="n"/>
      <c r="J291" s="13" t="n"/>
      <c r="K291" s="13" t="n"/>
      <c r="L291" s="10" t="n"/>
      <c r="M291" s="10" t="n"/>
      <c r="N291" s="14">
        <f>IF(A291="","",WEEKNUM(A291,2))</f>
        <v/>
      </c>
      <c r="O291" s="15">
        <f>IF(OR(A291="",F291=""),"",LOOKUP(F291,Lists!$F$2:$F$5,Lists!$G$2:$G$5))</f>
        <v/>
      </c>
      <c r="P291" s="16">
        <f>IF(A291="","",SUM(H291:K291))</f>
        <v/>
      </c>
      <c r="Q291" s="17">
        <f>IF(A291="","",IFERROR(P291/G291,""))</f>
        <v/>
      </c>
      <c r="R291" s="14">
        <f>IF(OR(A291="",G291=""),"",COUNTIFS($N$2:$N$1000,"&gt;0",$G$2:$G$1000,"&gt;"&amp;G291)+COUNTIFS($N$2:N291,"&gt;0",$G$2:G291,G291))</f>
        <v/>
      </c>
    </row>
    <row r="292">
      <c r="A292" s="9" t="n"/>
      <c r="B292" s="10" t="n"/>
      <c r="C292" s="10" t="n"/>
      <c r="D292" s="10" t="n"/>
      <c r="E292" s="10" t="n"/>
      <c r="F292" s="12" t="n"/>
      <c r="G292" s="13" t="n"/>
      <c r="H292" s="13" t="n"/>
      <c r="I292" s="13" t="n"/>
      <c r="J292" s="13" t="n"/>
      <c r="K292" s="13" t="n"/>
      <c r="L292" s="10" t="n"/>
      <c r="M292" s="10" t="n"/>
      <c r="N292" s="14">
        <f>IF(A292="","",WEEKNUM(A292,2))</f>
        <v/>
      </c>
      <c r="O292" s="15">
        <f>IF(OR(A292="",F292=""),"",LOOKUP(F292,Lists!$F$2:$F$5,Lists!$G$2:$G$5))</f>
        <v/>
      </c>
      <c r="P292" s="16">
        <f>IF(A292="","",SUM(H292:K292))</f>
        <v/>
      </c>
      <c r="Q292" s="17">
        <f>IF(A292="","",IFERROR(P292/G292,""))</f>
        <v/>
      </c>
      <c r="R292" s="14">
        <f>IF(OR(A292="",G292=""),"",COUNTIFS($N$2:$N$1000,"&gt;0",$G$2:$G$1000,"&gt;"&amp;G292)+COUNTIFS($N$2:N292,"&gt;0",$G$2:G292,G292))</f>
        <v/>
      </c>
    </row>
    <row r="293">
      <c r="A293" s="9" t="n"/>
      <c r="B293" s="10" t="n"/>
      <c r="C293" s="10" t="n"/>
      <c r="D293" s="10" t="n"/>
      <c r="E293" s="10" t="n"/>
      <c r="F293" s="12" t="n"/>
      <c r="G293" s="13" t="n"/>
      <c r="H293" s="13" t="n"/>
      <c r="I293" s="13" t="n"/>
      <c r="J293" s="13" t="n"/>
      <c r="K293" s="13" t="n"/>
      <c r="L293" s="10" t="n"/>
      <c r="M293" s="10" t="n"/>
      <c r="N293" s="14">
        <f>IF(A293="","",WEEKNUM(A293,2))</f>
        <v/>
      </c>
      <c r="O293" s="15">
        <f>IF(OR(A293="",F293=""),"",LOOKUP(F293,Lists!$F$2:$F$5,Lists!$G$2:$G$5))</f>
        <v/>
      </c>
      <c r="P293" s="16">
        <f>IF(A293="","",SUM(H293:K293))</f>
        <v/>
      </c>
      <c r="Q293" s="17">
        <f>IF(A293="","",IFERROR(P293/G293,""))</f>
        <v/>
      </c>
      <c r="R293" s="14">
        <f>IF(OR(A293="",G293=""),"",COUNTIFS($N$2:$N$1000,"&gt;0",$G$2:$G$1000,"&gt;"&amp;G293)+COUNTIFS($N$2:N293,"&gt;0",$G$2:G293,G293))</f>
        <v/>
      </c>
    </row>
    <row r="294">
      <c r="A294" s="9" t="n"/>
      <c r="B294" s="10" t="n"/>
      <c r="C294" s="10" t="n"/>
      <c r="D294" s="10" t="n"/>
      <c r="E294" s="10" t="n"/>
      <c r="F294" s="12" t="n"/>
      <c r="G294" s="13" t="n"/>
      <c r="H294" s="13" t="n"/>
      <c r="I294" s="13" t="n"/>
      <c r="J294" s="13" t="n"/>
      <c r="K294" s="13" t="n"/>
      <c r="L294" s="10" t="n"/>
      <c r="M294" s="10" t="n"/>
      <c r="N294" s="14">
        <f>IF(A294="","",WEEKNUM(A294,2))</f>
        <v/>
      </c>
      <c r="O294" s="15">
        <f>IF(OR(A294="",F294=""),"",LOOKUP(F294,Lists!$F$2:$F$5,Lists!$G$2:$G$5))</f>
        <v/>
      </c>
      <c r="P294" s="16">
        <f>IF(A294="","",SUM(H294:K294))</f>
        <v/>
      </c>
      <c r="Q294" s="17">
        <f>IF(A294="","",IFERROR(P294/G294,""))</f>
        <v/>
      </c>
      <c r="R294" s="14">
        <f>IF(OR(A294="",G294=""),"",COUNTIFS($N$2:$N$1000,"&gt;0",$G$2:$G$1000,"&gt;"&amp;G294)+COUNTIFS($N$2:N294,"&gt;0",$G$2:G294,G294))</f>
        <v/>
      </c>
    </row>
    <row r="295">
      <c r="A295" s="9" t="n"/>
      <c r="B295" s="10" t="n"/>
      <c r="C295" s="10" t="n"/>
      <c r="D295" s="10" t="n"/>
      <c r="E295" s="10" t="n"/>
      <c r="F295" s="12" t="n"/>
      <c r="G295" s="13" t="n"/>
      <c r="H295" s="13" t="n"/>
      <c r="I295" s="13" t="n"/>
      <c r="J295" s="13" t="n"/>
      <c r="K295" s="13" t="n"/>
      <c r="L295" s="10" t="n"/>
      <c r="M295" s="10" t="n"/>
      <c r="N295" s="14">
        <f>IF(A295="","",WEEKNUM(A295,2))</f>
        <v/>
      </c>
      <c r="O295" s="15">
        <f>IF(OR(A295="",F295=""),"",LOOKUP(F295,Lists!$F$2:$F$5,Lists!$G$2:$G$5))</f>
        <v/>
      </c>
      <c r="P295" s="16">
        <f>IF(A295="","",SUM(H295:K295))</f>
        <v/>
      </c>
      <c r="Q295" s="17">
        <f>IF(A295="","",IFERROR(P295/G295,""))</f>
        <v/>
      </c>
      <c r="R295" s="14">
        <f>IF(OR(A295="",G295=""),"",COUNTIFS($N$2:$N$1000,"&gt;0",$G$2:$G$1000,"&gt;"&amp;G295)+COUNTIFS($N$2:N295,"&gt;0",$G$2:G295,G295))</f>
        <v/>
      </c>
    </row>
    <row r="296">
      <c r="A296" s="9" t="n"/>
      <c r="B296" s="10" t="n"/>
      <c r="C296" s="10" t="n"/>
      <c r="D296" s="10" t="n"/>
      <c r="E296" s="10" t="n"/>
      <c r="F296" s="12" t="n"/>
      <c r="G296" s="13" t="n"/>
      <c r="H296" s="13" t="n"/>
      <c r="I296" s="13" t="n"/>
      <c r="J296" s="13" t="n"/>
      <c r="K296" s="13" t="n"/>
      <c r="L296" s="10" t="n"/>
      <c r="M296" s="10" t="n"/>
      <c r="N296" s="14">
        <f>IF(A296="","",WEEKNUM(A296,2))</f>
        <v/>
      </c>
      <c r="O296" s="15">
        <f>IF(OR(A296="",F296=""),"",LOOKUP(F296,Lists!$F$2:$F$5,Lists!$G$2:$G$5))</f>
        <v/>
      </c>
      <c r="P296" s="16">
        <f>IF(A296="","",SUM(H296:K296))</f>
        <v/>
      </c>
      <c r="Q296" s="17">
        <f>IF(A296="","",IFERROR(P296/G296,""))</f>
        <v/>
      </c>
      <c r="R296" s="14">
        <f>IF(OR(A296="",G296=""),"",COUNTIFS($N$2:$N$1000,"&gt;0",$G$2:$G$1000,"&gt;"&amp;G296)+COUNTIFS($N$2:N296,"&gt;0",$G$2:G296,G296))</f>
        <v/>
      </c>
    </row>
    <row r="297">
      <c r="A297" s="9" t="n"/>
      <c r="B297" s="10" t="n"/>
      <c r="C297" s="10" t="n"/>
      <c r="D297" s="10" t="n"/>
      <c r="E297" s="10" t="n"/>
      <c r="F297" s="12" t="n"/>
      <c r="G297" s="13" t="n"/>
      <c r="H297" s="13" t="n"/>
      <c r="I297" s="13" t="n"/>
      <c r="J297" s="13" t="n"/>
      <c r="K297" s="13" t="n"/>
      <c r="L297" s="10" t="n"/>
      <c r="M297" s="10" t="n"/>
      <c r="N297" s="14">
        <f>IF(A297="","",WEEKNUM(A297,2))</f>
        <v/>
      </c>
      <c r="O297" s="15">
        <f>IF(OR(A297="",F297=""),"",LOOKUP(F297,Lists!$F$2:$F$5,Lists!$G$2:$G$5))</f>
        <v/>
      </c>
      <c r="P297" s="16">
        <f>IF(A297="","",SUM(H297:K297))</f>
        <v/>
      </c>
      <c r="Q297" s="17">
        <f>IF(A297="","",IFERROR(P297/G297,""))</f>
        <v/>
      </c>
      <c r="R297" s="14">
        <f>IF(OR(A297="",G297=""),"",COUNTIFS($N$2:$N$1000,"&gt;0",$G$2:$G$1000,"&gt;"&amp;G297)+COUNTIFS($N$2:N297,"&gt;0",$G$2:G297,G297))</f>
        <v/>
      </c>
    </row>
    <row r="298">
      <c r="A298" s="9" t="n"/>
      <c r="B298" s="10" t="n"/>
      <c r="C298" s="10" t="n"/>
      <c r="D298" s="10" t="n"/>
      <c r="E298" s="10" t="n"/>
      <c r="F298" s="12" t="n"/>
      <c r="G298" s="13" t="n"/>
      <c r="H298" s="13" t="n"/>
      <c r="I298" s="13" t="n"/>
      <c r="J298" s="13" t="n"/>
      <c r="K298" s="13" t="n"/>
      <c r="L298" s="10" t="n"/>
      <c r="M298" s="10" t="n"/>
      <c r="N298" s="14">
        <f>IF(A298="","",WEEKNUM(A298,2))</f>
        <v/>
      </c>
      <c r="O298" s="15">
        <f>IF(OR(A298="",F298=""),"",LOOKUP(F298,Lists!$F$2:$F$5,Lists!$G$2:$G$5))</f>
        <v/>
      </c>
      <c r="P298" s="16">
        <f>IF(A298="","",SUM(H298:K298))</f>
        <v/>
      </c>
      <c r="Q298" s="17">
        <f>IF(A298="","",IFERROR(P298/G298,""))</f>
        <v/>
      </c>
      <c r="R298" s="14">
        <f>IF(OR(A298="",G298=""),"",COUNTIFS($N$2:$N$1000,"&gt;0",$G$2:$G$1000,"&gt;"&amp;G298)+COUNTIFS($N$2:N298,"&gt;0",$G$2:G298,G298))</f>
        <v/>
      </c>
    </row>
    <row r="299">
      <c r="A299" s="9" t="n"/>
      <c r="B299" s="10" t="n"/>
      <c r="C299" s="10" t="n"/>
      <c r="D299" s="10" t="n"/>
      <c r="E299" s="10" t="n"/>
      <c r="F299" s="12" t="n"/>
      <c r="G299" s="13" t="n"/>
      <c r="H299" s="13" t="n"/>
      <c r="I299" s="13" t="n"/>
      <c r="J299" s="13" t="n"/>
      <c r="K299" s="13" t="n"/>
      <c r="L299" s="10" t="n"/>
      <c r="M299" s="10" t="n"/>
      <c r="N299" s="14">
        <f>IF(A299="","",WEEKNUM(A299,2))</f>
        <v/>
      </c>
      <c r="O299" s="15">
        <f>IF(OR(A299="",F299=""),"",LOOKUP(F299,Lists!$F$2:$F$5,Lists!$G$2:$G$5))</f>
        <v/>
      </c>
      <c r="P299" s="16">
        <f>IF(A299="","",SUM(H299:K299))</f>
        <v/>
      </c>
      <c r="Q299" s="17">
        <f>IF(A299="","",IFERROR(P299/G299,""))</f>
        <v/>
      </c>
      <c r="R299" s="14">
        <f>IF(OR(A299="",G299=""),"",COUNTIFS($N$2:$N$1000,"&gt;0",$G$2:$G$1000,"&gt;"&amp;G299)+COUNTIFS($N$2:N299,"&gt;0",$G$2:G299,G299))</f>
        <v/>
      </c>
    </row>
    <row r="300">
      <c r="A300" s="9" t="n"/>
      <c r="B300" s="10" t="n"/>
      <c r="C300" s="10" t="n"/>
      <c r="D300" s="10" t="n"/>
      <c r="E300" s="10" t="n"/>
      <c r="F300" s="12" t="n"/>
      <c r="G300" s="13" t="n"/>
      <c r="H300" s="13" t="n"/>
      <c r="I300" s="13" t="n"/>
      <c r="J300" s="13" t="n"/>
      <c r="K300" s="13" t="n"/>
      <c r="L300" s="10" t="n"/>
      <c r="M300" s="10" t="n"/>
      <c r="N300" s="14">
        <f>IF(A300="","",WEEKNUM(A300,2))</f>
        <v/>
      </c>
      <c r="O300" s="15">
        <f>IF(OR(A300="",F300=""),"",LOOKUP(F300,Lists!$F$2:$F$5,Lists!$G$2:$G$5))</f>
        <v/>
      </c>
      <c r="P300" s="16">
        <f>IF(A300="","",SUM(H300:K300))</f>
        <v/>
      </c>
      <c r="Q300" s="17">
        <f>IF(A300="","",IFERROR(P300/G300,""))</f>
        <v/>
      </c>
      <c r="R300" s="14">
        <f>IF(OR(A300="",G300=""),"",COUNTIFS($N$2:$N$1000,"&gt;0",$G$2:$G$1000,"&gt;"&amp;G300)+COUNTIFS($N$2:N300,"&gt;0",$G$2:G300,G300))</f>
        <v/>
      </c>
    </row>
    <row r="301">
      <c r="A301" s="9" t="n"/>
      <c r="B301" s="10" t="n"/>
      <c r="C301" s="10" t="n"/>
      <c r="D301" s="10" t="n"/>
      <c r="E301" s="10" t="n"/>
      <c r="F301" s="12" t="n"/>
      <c r="G301" s="13" t="n"/>
      <c r="H301" s="13" t="n"/>
      <c r="I301" s="13" t="n"/>
      <c r="J301" s="13" t="n"/>
      <c r="K301" s="13" t="n"/>
      <c r="L301" s="10" t="n"/>
      <c r="M301" s="10" t="n"/>
      <c r="N301" s="14">
        <f>IF(A301="","",WEEKNUM(A301,2))</f>
        <v/>
      </c>
      <c r="O301" s="15">
        <f>IF(OR(A301="",F301=""),"",LOOKUP(F301,Lists!$F$2:$F$5,Lists!$G$2:$G$5))</f>
        <v/>
      </c>
      <c r="P301" s="16">
        <f>IF(A301="","",SUM(H301:K301))</f>
        <v/>
      </c>
      <c r="Q301" s="17">
        <f>IF(A301="","",IFERROR(P301/G301,""))</f>
        <v/>
      </c>
      <c r="R301" s="14">
        <f>IF(OR(A301="",G301=""),"",COUNTIFS($N$2:$N$1000,"&gt;0",$G$2:$G$1000,"&gt;"&amp;G301)+COUNTIFS($N$2:N301,"&gt;0",$G$2:G301,G301))</f>
        <v/>
      </c>
    </row>
    <row r="302">
      <c r="A302" s="9" t="n"/>
      <c r="B302" s="10" t="n"/>
      <c r="C302" s="10" t="n"/>
      <c r="D302" s="10" t="n"/>
      <c r="E302" s="10" t="n"/>
      <c r="F302" s="12" t="n"/>
      <c r="G302" s="13" t="n"/>
      <c r="H302" s="13" t="n"/>
      <c r="I302" s="13" t="n"/>
      <c r="J302" s="13" t="n"/>
      <c r="K302" s="13" t="n"/>
      <c r="L302" s="10" t="n"/>
      <c r="M302" s="10" t="n"/>
      <c r="N302" s="14">
        <f>IF(A302="","",WEEKNUM(A302,2))</f>
        <v/>
      </c>
      <c r="O302" s="15">
        <f>IF(OR(A302="",F302=""),"",LOOKUP(F302,Lists!$F$2:$F$5,Lists!$G$2:$G$5))</f>
        <v/>
      </c>
      <c r="P302" s="16">
        <f>IF(A302="","",SUM(H302:K302))</f>
        <v/>
      </c>
      <c r="Q302" s="17">
        <f>IF(A302="","",IFERROR(P302/G302,""))</f>
        <v/>
      </c>
      <c r="R302" s="14">
        <f>IF(OR(A302="",G302=""),"",COUNTIFS($N$2:$N$1000,"&gt;0",$G$2:$G$1000,"&gt;"&amp;G302)+COUNTIFS($N$2:N302,"&gt;0",$G$2:G302,G302))</f>
        <v/>
      </c>
    </row>
    <row r="303">
      <c r="A303" s="9" t="n"/>
      <c r="B303" s="10" t="n"/>
      <c r="C303" s="10" t="n"/>
      <c r="D303" s="10" t="n"/>
      <c r="E303" s="10" t="n"/>
      <c r="F303" s="12" t="n"/>
      <c r="G303" s="13" t="n"/>
      <c r="H303" s="13" t="n"/>
      <c r="I303" s="13" t="n"/>
      <c r="J303" s="13" t="n"/>
      <c r="K303" s="13" t="n"/>
      <c r="L303" s="10" t="n"/>
      <c r="M303" s="10" t="n"/>
      <c r="N303" s="14">
        <f>IF(A303="","",WEEKNUM(A303,2))</f>
        <v/>
      </c>
      <c r="O303" s="15">
        <f>IF(OR(A303="",F303=""),"",LOOKUP(F303,Lists!$F$2:$F$5,Lists!$G$2:$G$5))</f>
        <v/>
      </c>
      <c r="P303" s="16">
        <f>IF(A303="","",SUM(H303:K303))</f>
        <v/>
      </c>
      <c r="Q303" s="17">
        <f>IF(A303="","",IFERROR(P303/G303,""))</f>
        <v/>
      </c>
      <c r="R303" s="14">
        <f>IF(OR(A303="",G303=""),"",COUNTIFS($N$2:$N$1000,"&gt;0",$G$2:$G$1000,"&gt;"&amp;G303)+COUNTIFS($N$2:N303,"&gt;0",$G$2:G303,G303))</f>
        <v/>
      </c>
    </row>
    <row r="304">
      <c r="A304" s="9" t="n"/>
      <c r="B304" s="10" t="n"/>
      <c r="C304" s="10" t="n"/>
      <c r="D304" s="10" t="n"/>
      <c r="E304" s="10" t="n"/>
      <c r="F304" s="12" t="n"/>
      <c r="G304" s="13" t="n"/>
      <c r="H304" s="13" t="n"/>
      <c r="I304" s="13" t="n"/>
      <c r="J304" s="13" t="n"/>
      <c r="K304" s="13" t="n"/>
      <c r="L304" s="10" t="n"/>
      <c r="M304" s="10" t="n"/>
      <c r="N304" s="14">
        <f>IF(A304="","",WEEKNUM(A304,2))</f>
        <v/>
      </c>
      <c r="O304" s="15">
        <f>IF(OR(A304="",F304=""),"",LOOKUP(F304,Lists!$F$2:$F$5,Lists!$G$2:$G$5))</f>
        <v/>
      </c>
      <c r="P304" s="16">
        <f>IF(A304="","",SUM(H304:K304))</f>
        <v/>
      </c>
      <c r="Q304" s="17">
        <f>IF(A304="","",IFERROR(P304/G304,""))</f>
        <v/>
      </c>
      <c r="R304" s="14">
        <f>IF(OR(A304="",G304=""),"",COUNTIFS($N$2:$N$1000,"&gt;0",$G$2:$G$1000,"&gt;"&amp;G304)+COUNTIFS($N$2:N304,"&gt;0",$G$2:G304,G304))</f>
        <v/>
      </c>
    </row>
    <row r="305">
      <c r="A305" s="9" t="n"/>
      <c r="B305" s="10" t="n"/>
      <c r="C305" s="10" t="n"/>
      <c r="D305" s="10" t="n"/>
      <c r="E305" s="10" t="n"/>
      <c r="F305" s="12" t="n"/>
      <c r="G305" s="13" t="n"/>
      <c r="H305" s="13" t="n"/>
      <c r="I305" s="13" t="n"/>
      <c r="J305" s="13" t="n"/>
      <c r="K305" s="13" t="n"/>
      <c r="L305" s="10" t="n"/>
      <c r="M305" s="10" t="n"/>
      <c r="N305" s="14">
        <f>IF(A305="","",WEEKNUM(A305,2))</f>
        <v/>
      </c>
      <c r="O305" s="15">
        <f>IF(OR(A305="",F305=""),"",LOOKUP(F305,Lists!$F$2:$F$5,Lists!$G$2:$G$5))</f>
        <v/>
      </c>
      <c r="P305" s="16">
        <f>IF(A305="","",SUM(H305:K305))</f>
        <v/>
      </c>
      <c r="Q305" s="17">
        <f>IF(A305="","",IFERROR(P305/G305,""))</f>
        <v/>
      </c>
      <c r="R305" s="14">
        <f>IF(OR(A305="",G305=""),"",COUNTIFS($N$2:$N$1000,"&gt;0",$G$2:$G$1000,"&gt;"&amp;G305)+COUNTIFS($N$2:N305,"&gt;0",$G$2:G305,G305))</f>
        <v/>
      </c>
    </row>
    <row r="306">
      <c r="A306" s="9" t="n"/>
      <c r="B306" s="10" t="n"/>
      <c r="C306" s="10" t="n"/>
      <c r="D306" s="10" t="n"/>
      <c r="E306" s="10" t="n"/>
      <c r="F306" s="12" t="n"/>
      <c r="G306" s="13" t="n"/>
      <c r="H306" s="13" t="n"/>
      <c r="I306" s="13" t="n"/>
      <c r="J306" s="13" t="n"/>
      <c r="K306" s="13" t="n"/>
      <c r="L306" s="10" t="n"/>
      <c r="M306" s="10" t="n"/>
      <c r="N306" s="14">
        <f>IF(A306="","",WEEKNUM(A306,2))</f>
        <v/>
      </c>
      <c r="O306" s="15">
        <f>IF(OR(A306="",F306=""),"",LOOKUP(F306,Lists!$F$2:$F$5,Lists!$G$2:$G$5))</f>
        <v/>
      </c>
      <c r="P306" s="16">
        <f>IF(A306="","",SUM(H306:K306))</f>
        <v/>
      </c>
      <c r="Q306" s="17">
        <f>IF(A306="","",IFERROR(P306/G306,""))</f>
        <v/>
      </c>
      <c r="R306" s="14">
        <f>IF(OR(A306="",G306=""),"",COUNTIFS($N$2:$N$1000,"&gt;0",$G$2:$G$1000,"&gt;"&amp;G306)+COUNTIFS($N$2:N306,"&gt;0",$G$2:G306,G306))</f>
        <v/>
      </c>
    </row>
    <row r="307">
      <c r="A307" s="9" t="n"/>
      <c r="B307" s="10" t="n"/>
      <c r="C307" s="10" t="n"/>
      <c r="D307" s="10" t="n"/>
      <c r="E307" s="10" t="n"/>
      <c r="F307" s="12" t="n"/>
      <c r="G307" s="13" t="n"/>
      <c r="H307" s="13" t="n"/>
      <c r="I307" s="13" t="n"/>
      <c r="J307" s="13" t="n"/>
      <c r="K307" s="13" t="n"/>
      <c r="L307" s="10" t="n"/>
      <c r="M307" s="10" t="n"/>
      <c r="N307" s="14">
        <f>IF(A307="","",WEEKNUM(A307,2))</f>
        <v/>
      </c>
      <c r="O307" s="15">
        <f>IF(OR(A307="",F307=""),"",LOOKUP(F307,Lists!$F$2:$F$5,Lists!$G$2:$G$5))</f>
        <v/>
      </c>
      <c r="P307" s="16">
        <f>IF(A307="","",SUM(H307:K307))</f>
        <v/>
      </c>
      <c r="Q307" s="17">
        <f>IF(A307="","",IFERROR(P307/G307,""))</f>
        <v/>
      </c>
      <c r="R307" s="14">
        <f>IF(OR(A307="",G307=""),"",COUNTIFS($N$2:$N$1000,"&gt;0",$G$2:$G$1000,"&gt;"&amp;G307)+COUNTIFS($N$2:N307,"&gt;0",$G$2:G307,G307))</f>
        <v/>
      </c>
    </row>
    <row r="308">
      <c r="A308" s="9" t="n"/>
      <c r="B308" s="10" t="n"/>
      <c r="C308" s="10" t="n"/>
      <c r="D308" s="10" t="n"/>
      <c r="E308" s="10" t="n"/>
      <c r="F308" s="12" t="n"/>
      <c r="G308" s="13" t="n"/>
      <c r="H308" s="13" t="n"/>
      <c r="I308" s="13" t="n"/>
      <c r="J308" s="13" t="n"/>
      <c r="K308" s="13" t="n"/>
      <c r="L308" s="10" t="n"/>
      <c r="M308" s="10" t="n"/>
      <c r="N308" s="14">
        <f>IF(A308="","",WEEKNUM(A308,2))</f>
        <v/>
      </c>
      <c r="O308" s="15">
        <f>IF(OR(A308="",F308=""),"",LOOKUP(F308,Lists!$F$2:$F$5,Lists!$G$2:$G$5))</f>
        <v/>
      </c>
      <c r="P308" s="16">
        <f>IF(A308="","",SUM(H308:K308))</f>
        <v/>
      </c>
      <c r="Q308" s="17">
        <f>IF(A308="","",IFERROR(P308/G308,""))</f>
        <v/>
      </c>
      <c r="R308" s="14">
        <f>IF(OR(A308="",G308=""),"",COUNTIFS($N$2:$N$1000,"&gt;0",$G$2:$G$1000,"&gt;"&amp;G308)+COUNTIFS($N$2:N308,"&gt;0",$G$2:G308,G308))</f>
        <v/>
      </c>
    </row>
    <row r="309">
      <c r="A309" s="9" t="n"/>
      <c r="B309" s="10" t="n"/>
      <c r="C309" s="10" t="n"/>
      <c r="D309" s="10" t="n"/>
      <c r="E309" s="10" t="n"/>
      <c r="F309" s="12" t="n"/>
      <c r="G309" s="13" t="n"/>
      <c r="H309" s="13" t="n"/>
      <c r="I309" s="13" t="n"/>
      <c r="J309" s="13" t="n"/>
      <c r="K309" s="13" t="n"/>
      <c r="L309" s="10" t="n"/>
      <c r="M309" s="10" t="n"/>
      <c r="N309" s="14">
        <f>IF(A309="","",WEEKNUM(A309,2))</f>
        <v/>
      </c>
      <c r="O309" s="15">
        <f>IF(OR(A309="",F309=""),"",LOOKUP(F309,Lists!$F$2:$F$5,Lists!$G$2:$G$5))</f>
        <v/>
      </c>
      <c r="P309" s="16">
        <f>IF(A309="","",SUM(H309:K309))</f>
        <v/>
      </c>
      <c r="Q309" s="17">
        <f>IF(A309="","",IFERROR(P309/G309,""))</f>
        <v/>
      </c>
      <c r="R309" s="14">
        <f>IF(OR(A309="",G309=""),"",COUNTIFS($N$2:$N$1000,"&gt;0",$G$2:$G$1000,"&gt;"&amp;G309)+COUNTIFS($N$2:N309,"&gt;0",$G$2:G309,G309))</f>
        <v/>
      </c>
    </row>
    <row r="310">
      <c r="A310" s="9" t="n"/>
      <c r="B310" s="10" t="n"/>
      <c r="C310" s="10" t="n"/>
      <c r="D310" s="10" t="n"/>
      <c r="E310" s="10" t="n"/>
      <c r="F310" s="12" t="n"/>
      <c r="G310" s="13" t="n"/>
      <c r="H310" s="13" t="n"/>
      <c r="I310" s="13" t="n"/>
      <c r="J310" s="13" t="n"/>
      <c r="K310" s="13" t="n"/>
      <c r="L310" s="10" t="n"/>
      <c r="M310" s="10" t="n"/>
      <c r="N310" s="14">
        <f>IF(A310="","",WEEKNUM(A310,2))</f>
        <v/>
      </c>
      <c r="O310" s="15">
        <f>IF(OR(A310="",F310=""),"",LOOKUP(F310,Lists!$F$2:$F$5,Lists!$G$2:$G$5))</f>
        <v/>
      </c>
      <c r="P310" s="16">
        <f>IF(A310="","",SUM(H310:K310))</f>
        <v/>
      </c>
      <c r="Q310" s="17">
        <f>IF(A310="","",IFERROR(P310/G310,""))</f>
        <v/>
      </c>
      <c r="R310" s="14">
        <f>IF(OR(A310="",G310=""),"",COUNTIFS($N$2:$N$1000,"&gt;0",$G$2:$G$1000,"&gt;"&amp;G310)+COUNTIFS($N$2:N310,"&gt;0",$G$2:G310,G310))</f>
        <v/>
      </c>
    </row>
    <row r="311">
      <c r="A311" s="9" t="n"/>
      <c r="B311" s="10" t="n"/>
      <c r="C311" s="10" t="n"/>
      <c r="D311" s="10" t="n"/>
      <c r="E311" s="10" t="n"/>
      <c r="F311" s="12" t="n"/>
      <c r="G311" s="13" t="n"/>
      <c r="H311" s="13" t="n"/>
      <c r="I311" s="13" t="n"/>
      <c r="J311" s="13" t="n"/>
      <c r="K311" s="13" t="n"/>
      <c r="L311" s="10" t="n"/>
      <c r="M311" s="10" t="n"/>
      <c r="N311" s="14">
        <f>IF(A311="","",WEEKNUM(A311,2))</f>
        <v/>
      </c>
      <c r="O311" s="15">
        <f>IF(OR(A311="",F311=""),"",LOOKUP(F311,Lists!$F$2:$F$5,Lists!$G$2:$G$5))</f>
        <v/>
      </c>
      <c r="P311" s="16">
        <f>IF(A311="","",SUM(H311:K311))</f>
        <v/>
      </c>
      <c r="Q311" s="17">
        <f>IF(A311="","",IFERROR(P311/G311,""))</f>
        <v/>
      </c>
      <c r="R311" s="14">
        <f>IF(OR(A311="",G311=""),"",COUNTIFS($N$2:$N$1000,"&gt;0",$G$2:$G$1000,"&gt;"&amp;G311)+COUNTIFS($N$2:N311,"&gt;0",$G$2:G311,G311))</f>
        <v/>
      </c>
    </row>
    <row r="312">
      <c r="A312" s="9" t="n"/>
      <c r="B312" s="10" t="n"/>
      <c r="C312" s="10" t="n"/>
      <c r="D312" s="10" t="n"/>
      <c r="E312" s="10" t="n"/>
      <c r="F312" s="12" t="n"/>
      <c r="G312" s="13" t="n"/>
      <c r="H312" s="13" t="n"/>
      <c r="I312" s="13" t="n"/>
      <c r="J312" s="13" t="n"/>
      <c r="K312" s="13" t="n"/>
      <c r="L312" s="10" t="n"/>
      <c r="M312" s="10" t="n"/>
      <c r="N312" s="14">
        <f>IF(A312="","",WEEKNUM(A312,2))</f>
        <v/>
      </c>
      <c r="O312" s="15">
        <f>IF(OR(A312="",F312=""),"",LOOKUP(F312,Lists!$F$2:$F$5,Lists!$G$2:$G$5))</f>
        <v/>
      </c>
      <c r="P312" s="16">
        <f>IF(A312="","",SUM(H312:K312))</f>
        <v/>
      </c>
      <c r="Q312" s="17">
        <f>IF(A312="","",IFERROR(P312/G312,""))</f>
        <v/>
      </c>
      <c r="R312" s="14">
        <f>IF(OR(A312="",G312=""),"",COUNTIFS($N$2:$N$1000,"&gt;0",$G$2:$G$1000,"&gt;"&amp;G312)+COUNTIFS($N$2:N312,"&gt;0",$G$2:G312,G312))</f>
        <v/>
      </c>
    </row>
    <row r="313">
      <c r="A313" s="9" t="n"/>
      <c r="B313" s="10" t="n"/>
      <c r="C313" s="10" t="n"/>
      <c r="D313" s="10" t="n"/>
      <c r="E313" s="10" t="n"/>
      <c r="F313" s="12" t="n"/>
      <c r="G313" s="13" t="n"/>
      <c r="H313" s="13" t="n"/>
      <c r="I313" s="13" t="n"/>
      <c r="J313" s="13" t="n"/>
      <c r="K313" s="13" t="n"/>
      <c r="L313" s="10" t="n"/>
      <c r="M313" s="10" t="n"/>
      <c r="N313" s="14">
        <f>IF(A313="","",WEEKNUM(A313,2))</f>
        <v/>
      </c>
      <c r="O313" s="15">
        <f>IF(OR(A313="",F313=""),"",LOOKUP(F313,Lists!$F$2:$F$5,Lists!$G$2:$G$5))</f>
        <v/>
      </c>
      <c r="P313" s="16">
        <f>IF(A313="","",SUM(H313:K313))</f>
        <v/>
      </c>
      <c r="Q313" s="17">
        <f>IF(A313="","",IFERROR(P313/G313,""))</f>
        <v/>
      </c>
      <c r="R313" s="14">
        <f>IF(OR(A313="",G313=""),"",COUNTIFS($N$2:$N$1000,"&gt;0",$G$2:$G$1000,"&gt;"&amp;G313)+COUNTIFS($N$2:N313,"&gt;0",$G$2:G313,G313))</f>
        <v/>
      </c>
    </row>
    <row r="314">
      <c r="A314" s="9" t="n"/>
      <c r="B314" s="10" t="n"/>
      <c r="C314" s="10" t="n"/>
      <c r="D314" s="10" t="n"/>
      <c r="E314" s="10" t="n"/>
      <c r="F314" s="12" t="n"/>
      <c r="G314" s="13" t="n"/>
      <c r="H314" s="13" t="n"/>
      <c r="I314" s="13" t="n"/>
      <c r="J314" s="13" t="n"/>
      <c r="K314" s="13" t="n"/>
      <c r="L314" s="10" t="n"/>
      <c r="M314" s="10" t="n"/>
      <c r="N314" s="14">
        <f>IF(A314="","",WEEKNUM(A314,2))</f>
        <v/>
      </c>
      <c r="O314" s="15">
        <f>IF(OR(A314="",F314=""),"",LOOKUP(F314,Lists!$F$2:$F$5,Lists!$G$2:$G$5))</f>
        <v/>
      </c>
      <c r="P314" s="16">
        <f>IF(A314="","",SUM(H314:K314))</f>
        <v/>
      </c>
      <c r="Q314" s="17">
        <f>IF(A314="","",IFERROR(P314/G314,""))</f>
        <v/>
      </c>
      <c r="R314" s="14">
        <f>IF(OR(A314="",G314=""),"",COUNTIFS($N$2:$N$1000,"&gt;0",$G$2:$G$1000,"&gt;"&amp;G314)+COUNTIFS($N$2:N314,"&gt;0",$G$2:G314,G314))</f>
        <v/>
      </c>
    </row>
    <row r="315">
      <c r="A315" s="9" t="n"/>
      <c r="B315" s="10" t="n"/>
      <c r="C315" s="10" t="n"/>
      <c r="D315" s="10" t="n"/>
      <c r="E315" s="10" t="n"/>
      <c r="F315" s="12" t="n"/>
      <c r="G315" s="13" t="n"/>
      <c r="H315" s="13" t="n"/>
      <c r="I315" s="13" t="n"/>
      <c r="J315" s="13" t="n"/>
      <c r="K315" s="13" t="n"/>
      <c r="L315" s="10" t="n"/>
      <c r="M315" s="10" t="n"/>
      <c r="N315" s="14">
        <f>IF(A315="","",WEEKNUM(A315,2))</f>
        <v/>
      </c>
      <c r="O315" s="15">
        <f>IF(OR(A315="",F315=""),"",LOOKUP(F315,Lists!$F$2:$F$5,Lists!$G$2:$G$5))</f>
        <v/>
      </c>
      <c r="P315" s="16">
        <f>IF(A315="","",SUM(H315:K315))</f>
        <v/>
      </c>
      <c r="Q315" s="17">
        <f>IF(A315="","",IFERROR(P315/G315,""))</f>
        <v/>
      </c>
      <c r="R315" s="14">
        <f>IF(OR(A315="",G315=""),"",COUNTIFS($N$2:$N$1000,"&gt;0",$G$2:$G$1000,"&gt;"&amp;G315)+COUNTIFS($N$2:N315,"&gt;0",$G$2:G315,G315))</f>
        <v/>
      </c>
    </row>
    <row r="316">
      <c r="A316" s="9" t="n"/>
      <c r="B316" s="10" t="n"/>
      <c r="C316" s="10" t="n"/>
      <c r="D316" s="10" t="n"/>
      <c r="E316" s="10" t="n"/>
      <c r="F316" s="12" t="n"/>
      <c r="G316" s="13" t="n"/>
      <c r="H316" s="13" t="n"/>
      <c r="I316" s="13" t="n"/>
      <c r="J316" s="13" t="n"/>
      <c r="K316" s="13" t="n"/>
      <c r="L316" s="10" t="n"/>
      <c r="M316" s="10" t="n"/>
      <c r="N316" s="14">
        <f>IF(A316="","",WEEKNUM(A316,2))</f>
        <v/>
      </c>
      <c r="O316" s="15">
        <f>IF(OR(A316="",F316=""),"",LOOKUP(F316,Lists!$F$2:$F$5,Lists!$G$2:$G$5))</f>
        <v/>
      </c>
      <c r="P316" s="16">
        <f>IF(A316="","",SUM(H316:K316))</f>
        <v/>
      </c>
      <c r="Q316" s="17">
        <f>IF(A316="","",IFERROR(P316/G316,""))</f>
        <v/>
      </c>
      <c r="R316" s="14">
        <f>IF(OR(A316="",G316=""),"",COUNTIFS($N$2:$N$1000,"&gt;0",$G$2:$G$1000,"&gt;"&amp;G316)+COUNTIFS($N$2:N316,"&gt;0",$G$2:G316,G316))</f>
        <v/>
      </c>
    </row>
    <row r="317">
      <c r="A317" s="9" t="n"/>
      <c r="B317" s="10" t="n"/>
      <c r="C317" s="10" t="n"/>
      <c r="D317" s="10" t="n"/>
      <c r="E317" s="10" t="n"/>
      <c r="F317" s="12" t="n"/>
      <c r="G317" s="13" t="n"/>
      <c r="H317" s="13" t="n"/>
      <c r="I317" s="13" t="n"/>
      <c r="J317" s="13" t="n"/>
      <c r="K317" s="13" t="n"/>
      <c r="L317" s="10" t="n"/>
      <c r="M317" s="10" t="n"/>
      <c r="N317" s="14">
        <f>IF(A317="","",WEEKNUM(A317,2))</f>
        <v/>
      </c>
      <c r="O317" s="15">
        <f>IF(OR(A317="",F317=""),"",LOOKUP(F317,Lists!$F$2:$F$5,Lists!$G$2:$G$5))</f>
        <v/>
      </c>
      <c r="P317" s="16">
        <f>IF(A317="","",SUM(H317:K317))</f>
        <v/>
      </c>
      <c r="Q317" s="17">
        <f>IF(A317="","",IFERROR(P317/G317,""))</f>
        <v/>
      </c>
      <c r="R317" s="14">
        <f>IF(OR(A317="",G317=""),"",COUNTIFS($N$2:$N$1000,"&gt;0",$G$2:$G$1000,"&gt;"&amp;G317)+COUNTIFS($N$2:N317,"&gt;0",$G$2:G317,G317))</f>
        <v/>
      </c>
    </row>
    <row r="318">
      <c r="A318" s="9" t="n"/>
      <c r="B318" s="10" t="n"/>
      <c r="C318" s="10" t="n"/>
      <c r="D318" s="10" t="n"/>
      <c r="E318" s="10" t="n"/>
      <c r="F318" s="12" t="n"/>
      <c r="G318" s="13" t="n"/>
      <c r="H318" s="13" t="n"/>
      <c r="I318" s="13" t="n"/>
      <c r="J318" s="13" t="n"/>
      <c r="K318" s="13" t="n"/>
      <c r="L318" s="10" t="n"/>
      <c r="M318" s="10" t="n"/>
      <c r="N318" s="14">
        <f>IF(A318="","",WEEKNUM(A318,2))</f>
        <v/>
      </c>
      <c r="O318" s="15">
        <f>IF(OR(A318="",F318=""),"",LOOKUP(F318,Lists!$F$2:$F$5,Lists!$G$2:$G$5))</f>
        <v/>
      </c>
      <c r="P318" s="16">
        <f>IF(A318="","",SUM(H318:K318))</f>
        <v/>
      </c>
      <c r="Q318" s="17">
        <f>IF(A318="","",IFERROR(P318/G318,""))</f>
        <v/>
      </c>
      <c r="R318" s="14">
        <f>IF(OR(A318="",G318=""),"",COUNTIFS($N$2:$N$1000,"&gt;0",$G$2:$G$1000,"&gt;"&amp;G318)+COUNTIFS($N$2:N318,"&gt;0",$G$2:G318,G318))</f>
        <v/>
      </c>
    </row>
    <row r="319">
      <c r="A319" s="9" t="n"/>
      <c r="B319" s="10" t="n"/>
      <c r="C319" s="10" t="n"/>
      <c r="D319" s="10" t="n"/>
      <c r="E319" s="10" t="n"/>
      <c r="F319" s="12" t="n"/>
      <c r="G319" s="13" t="n"/>
      <c r="H319" s="13" t="n"/>
      <c r="I319" s="13" t="n"/>
      <c r="J319" s="13" t="n"/>
      <c r="K319" s="13" t="n"/>
      <c r="L319" s="10" t="n"/>
      <c r="M319" s="10" t="n"/>
      <c r="N319" s="14">
        <f>IF(A319="","",WEEKNUM(A319,2))</f>
        <v/>
      </c>
      <c r="O319" s="15">
        <f>IF(OR(A319="",F319=""),"",LOOKUP(F319,Lists!$F$2:$F$5,Lists!$G$2:$G$5))</f>
        <v/>
      </c>
      <c r="P319" s="16">
        <f>IF(A319="","",SUM(H319:K319))</f>
        <v/>
      </c>
      <c r="Q319" s="17">
        <f>IF(A319="","",IFERROR(P319/G319,""))</f>
        <v/>
      </c>
      <c r="R319" s="14">
        <f>IF(OR(A319="",G319=""),"",COUNTIFS($N$2:$N$1000,"&gt;0",$G$2:$G$1000,"&gt;"&amp;G319)+COUNTIFS($N$2:N319,"&gt;0",$G$2:G319,G319))</f>
        <v/>
      </c>
    </row>
    <row r="320">
      <c r="A320" s="9" t="n"/>
      <c r="B320" s="10" t="n"/>
      <c r="C320" s="10" t="n"/>
      <c r="D320" s="10" t="n"/>
      <c r="E320" s="10" t="n"/>
      <c r="F320" s="12" t="n"/>
      <c r="G320" s="13" t="n"/>
      <c r="H320" s="13" t="n"/>
      <c r="I320" s="13" t="n"/>
      <c r="J320" s="13" t="n"/>
      <c r="K320" s="13" t="n"/>
      <c r="L320" s="10" t="n"/>
      <c r="M320" s="10" t="n"/>
      <c r="N320" s="14">
        <f>IF(A320="","",WEEKNUM(A320,2))</f>
        <v/>
      </c>
      <c r="O320" s="15">
        <f>IF(OR(A320="",F320=""),"",LOOKUP(F320,Lists!$F$2:$F$5,Lists!$G$2:$G$5))</f>
        <v/>
      </c>
      <c r="P320" s="16">
        <f>IF(A320="","",SUM(H320:K320))</f>
        <v/>
      </c>
      <c r="Q320" s="17">
        <f>IF(A320="","",IFERROR(P320/G320,""))</f>
        <v/>
      </c>
      <c r="R320" s="14">
        <f>IF(OR(A320="",G320=""),"",COUNTIFS($N$2:$N$1000,"&gt;0",$G$2:$G$1000,"&gt;"&amp;G320)+COUNTIFS($N$2:N320,"&gt;0",$G$2:G320,G320))</f>
        <v/>
      </c>
    </row>
    <row r="321">
      <c r="A321" s="9" t="n"/>
      <c r="B321" s="10" t="n"/>
      <c r="C321" s="10" t="n"/>
      <c r="D321" s="10" t="n"/>
      <c r="E321" s="10" t="n"/>
      <c r="F321" s="12" t="n"/>
      <c r="G321" s="13" t="n"/>
      <c r="H321" s="13" t="n"/>
      <c r="I321" s="13" t="n"/>
      <c r="J321" s="13" t="n"/>
      <c r="K321" s="13" t="n"/>
      <c r="L321" s="10" t="n"/>
      <c r="M321" s="10" t="n"/>
      <c r="N321" s="14">
        <f>IF(A321="","",WEEKNUM(A321,2))</f>
        <v/>
      </c>
      <c r="O321" s="15">
        <f>IF(OR(A321="",F321=""),"",LOOKUP(F321,Lists!$F$2:$F$5,Lists!$G$2:$G$5))</f>
        <v/>
      </c>
      <c r="P321" s="16">
        <f>IF(A321="","",SUM(H321:K321))</f>
        <v/>
      </c>
      <c r="Q321" s="17">
        <f>IF(A321="","",IFERROR(P321/G321,""))</f>
        <v/>
      </c>
      <c r="R321" s="14">
        <f>IF(OR(A321="",G321=""),"",COUNTIFS($N$2:$N$1000,"&gt;0",$G$2:$G$1000,"&gt;"&amp;G321)+COUNTIFS($N$2:N321,"&gt;0",$G$2:G321,G321))</f>
        <v/>
      </c>
    </row>
    <row r="322">
      <c r="A322" s="9" t="n"/>
      <c r="B322" s="10" t="n"/>
      <c r="C322" s="10" t="n"/>
      <c r="D322" s="10" t="n"/>
      <c r="E322" s="10" t="n"/>
      <c r="F322" s="12" t="n"/>
      <c r="G322" s="13" t="n"/>
      <c r="H322" s="13" t="n"/>
      <c r="I322" s="13" t="n"/>
      <c r="J322" s="13" t="n"/>
      <c r="K322" s="13" t="n"/>
      <c r="L322" s="10" t="n"/>
      <c r="M322" s="10" t="n"/>
      <c r="N322" s="14">
        <f>IF(A322="","",WEEKNUM(A322,2))</f>
        <v/>
      </c>
      <c r="O322" s="15">
        <f>IF(OR(A322="",F322=""),"",LOOKUP(F322,Lists!$F$2:$F$5,Lists!$G$2:$G$5))</f>
        <v/>
      </c>
      <c r="P322" s="16">
        <f>IF(A322="","",SUM(H322:K322))</f>
        <v/>
      </c>
      <c r="Q322" s="17">
        <f>IF(A322="","",IFERROR(P322/G322,""))</f>
        <v/>
      </c>
      <c r="R322" s="14">
        <f>IF(OR(A322="",G322=""),"",COUNTIFS($N$2:$N$1000,"&gt;0",$G$2:$G$1000,"&gt;"&amp;G322)+COUNTIFS($N$2:N322,"&gt;0",$G$2:G322,G322))</f>
        <v/>
      </c>
    </row>
    <row r="323">
      <c r="A323" s="9" t="n"/>
      <c r="B323" s="10" t="n"/>
      <c r="C323" s="10" t="n"/>
      <c r="D323" s="10" t="n"/>
      <c r="E323" s="10" t="n"/>
      <c r="F323" s="12" t="n"/>
      <c r="G323" s="13" t="n"/>
      <c r="H323" s="13" t="n"/>
      <c r="I323" s="13" t="n"/>
      <c r="J323" s="13" t="n"/>
      <c r="K323" s="13" t="n"/>
      <c r="L323" s="10" t="n"/>
      <c r="M323" s="10" t="n"/>
      <c r="N323" s="14">
        <f>IF(A323="","",WEEKNUM(A323,2))</f>
        <v/>
      </c>
      <c r="O323" s="15">
        <f>IF(OR(A323="",F323=""),"",LOOKUP(F323,Lists!$F$2:$F$5,Lists!$G$2:$G$5))</f>
        <v/>
      </c>
      <c r="P323" s="16">
        <f>IF(A323="","",SUM(H323:K323))</f>
        <v/>
      </c>
      <c r="Q323" s="17">
        <f>IF(A323="","",IFERROR(P323/G323,""))</f>
        <v/>
      </c>
      <c r="R323" s="14">
        <f>IF(OR(A323="",G323=""),"",COUNTIFS($N$2:$N$1000,"&gt;0",$G$2:$G$1000,"&gt;"&amp;G323)+COUNTIFS($N$2:N323,"&gt;0",$G$2:G323,G323))</f>
        <v/>
      </c>
    </row>
    <row r="324">
      <c r="A324" s="9" t="n"/>
      <c r="B324" s="10" t="n"/>
      <c r="C324" s="10" t="n"/>
      <c r="D324" s="10" t="n"/>
      <c r="E324" s="10" t="n"/>
      <c r="F324" s="12" t="n"/>
      <c r="G324" s="13" t="n"/>
      <c r="H324" s="13" t="n"/>
      <c r="I324" s="13" t="n"/>
      <c r="J324" s="13" t="n"/>
      <c r="K324" s="13" t="n"/>
      <c r="L324" s="10" t="n"/>
      <c r="M324" s="10" t="n"/>
      <c r="N324" s="14">
        <f>IF(A324="","",WEEKNUM(A324,2))</f>
        <v/>
      </c>
      <c r="O324" s="15">
        <f>IF(OR(A324="",F324=""),"",LOOKUP(F324,Lists!$F$2:$F$5,Lists!$G$2:$G$5))</f>
        <v/>
      </c>
      <c r="P324" s="16">
        <f>IF(A324="","",SUM(H324:K324))</f>
        <v/>
      </c>
      <c r="Q324" s="17">
        <f>IF(A324="","",IFERROR(P324/G324,""))</f>
        <v/>
      </c>
      <c r="R324" s="14">
        <f>IF(OR(A324="",G324=""),"",COUNTIFS($N$2:$N$1000,"&gt;0",$G$2:$G$1000,"&gt;"&amp;G324)+COUNTIFS($N$2:N324,"&gt;0",$G$2:G324,G324))</f>
        <v/>
      </c>
    </row>
    <row r="325">
      <c r="A325" s="9" t="n"/>
      <c r="B325" s="10" t="n"/>
      <c r="C325" s="10" t="n"/>
      <c r="D325" s="10" t="n"/>
      <c r="E325" s="10" t="n"/>
      <c r="F325" s="12" t="n"/>
      <c r="G325" s="13" t="n"/>
      <c r="H325" s="13" t="n"/>
      <c r="I325" s="13" t="n"/>
      <c r="J325" s="13" t="n"/>
      <c r="K325" s="13" t="n"/>
      <c r="L325" s="10" t="n"/>
      <c r="M325" s="10" t="n"/>
      <c r="N325" s="14">
        <f>IF(A325="","",WEEKNUM(A325,2))</f>
        <v/>
      </c>
      <c r="O325" s="15">
        <f>IF(OR(A325="",F325=""),"",LOOKUP(F325,Lists!$F$2:$F$5,Lists!$G$2:$G$5))</f>
        <v/>
      </c>
      <c r="P325" s="16">
        <f>IF(A325="","",SUM(H325:K325))</f>
        <v/>
      </c>
      <c r="Q325" s="17">
        <f>IF(A325="","",IFERROR(P325/G325,""))</f>
        <v/>
      </c>
      <c r="R325" s="14">
        <f>IF(OR(A325="",G325=""),"",COUNTIFS($N$2:$N$1000,"&gt;0",$G$2:$G$1000,"&gt;"&amp;G325)+COUNTIFS($N$2:N325,"&gt;0",$G$2:G325,G325))</f>
        <v/>
      </c>
    </row>
    <row r="326">
      <c r="A326" s="9" t="n"/>
      <c r="B326" s="10" t="n"/>
      <c r="C326" s="10" t="n"/>
      <c r="D326" s="10" t="n"/>
      <c r="E326" s="10" t="n"/>
      <c r="F326" s="12" t="n"/>
      <c r="G326" s="13" t="n"/>
      <c r="H326" s="13" t="n"/>
      <c r="I326" s="13" t="n"/>
      <c r="J326" s="13" t="n"/>
      <c r="K326" s="13" t="n"/>
      <c r="L326" s="10" t="n"/>
      <c r="M326" s="10" t="n"/>
      <c r="N326" s="14">
        <f>IF(A326="","",WEEKNUM(A326,2))</f>
        <v/>
      </c>
      <c r="O326" s="15">
        <f>IF(OR(A326="",F326=""),"",LOOKUP(F326,Lists!$F$2:$F$5,Lists!$G$2:$G$5))</f>
        <v/>
      </c>
      <c r="P326" s="16">
        <f>IF(A326="","",SUM(H326:K326))</f>
        <v/>
      </c>
      <c r="Q326" s="17">
        <f>IF(A326="","",IFERROR(P326/G326,""))</f>
        <v/>
      </c>
      <c r="R326" s="14">
        <f>IF(OR(A326="",G326=""),"",COUNTIFS($N$2:$N$1000,"&gt;0",$G$2:$G$1000,"&gt;"&amp;G326)+COUNTIFS($N$2:N326,"&gt;0",$G$2:G326,G326))</f>
        <v/>
      </c>
    </row>
    <row r="327">
      <c r="A327" s="9" t="n"/>
      <c r="B327" s="10" t="n"/>
      <c r="C327" s="10" t="n"/>
      <c r="D327" s="10" t="n"/>
      <c r="E327" s="10" t="n"/>
      <c r="F327" s="12" t="n"/>
      <c r="G327" s="13" t="n"/>
      <c r="H327" s="13" t="n"/>
      <c r="I327" s="13" t="n"/>
      <c r="J327" s="13" t="n"/>
      <c r="K327" s="13" t="n"/>
      <c r="L327" s="10" t="n"/>
      <c r="M327" s="10" t="n"/>
      <c r="N327" s="14">
        <f>IF(A327="","",WEEKNUM(A327,2))</f>
        <v/>
      </c>
      <c r="O327" s="15">
        <f>IF(OR(A327="",F327=""),"",LOOKUP(F327,Lists!$F$2:$F$5,Lists!$G$2:$G$5))</f>
        <v/>
      </c>
      <c r="P327" s="16">
        <f>IF(A327="","",SUM(H327:K327))</f>
        <v/>
      </c>
      <c r="Q327" s="17">
        <f>IF(A327="","",IFERROR(P327/G327,""))</f>
        <v/>
      </c>
      <c r="R327" s="14">
        <f>IF(OR(A327="",G327=""),"",COUNTIFS($N$2:$N$1000,"&gt;0",$G$2:$G$1000,"&gt;"&amp;G327)+COUNTIFS($N$2:N327,"&gt;0",$G$2:G327,G327))</f>
        <v/>
      </c>
    </row>
    <row r="328">
      <c r="A328" s="9" t="n"/>
      <c r="B328" s="10" t="n"/>
      <c r="C328" s="10" t="n"/>
      <c r="D328" s="10" t="n"/>
      <c r="E328" s="10" t="n"/>
      <c r="F328" s="12" t="n"/>
      <c r="G328" s="13" t="n"/>
      <c r="H328" s="13" t="n"/>
      <c r="I328" s="13" t="n"/>
      <c r="J328" s="13" t="n"/>
      <c r="K328" s="13" t="n"/>
      <c r="L328" s="10" t="n"/>
      <c r="M328" s="10" t="n"/>
      <c r="N328" s="14">
        <f>IF(A328="","",WEEKNUM(A328,2))</f>
        <v/>
      </c>
      <c r="O328" s="15">
        <f>IF(OR(A328="",F328=""),"",LOOKUP(F328,Lists!$F$2:$F$5,Lists!$G$2:$G$5))</f>
        <v/>
      </c>
      <c r="P328" s="16">
        <f>IF(A328="","",SUM(H328:K328))</f>
        <v/>
      </c>
      <c r="Q328" s="17">
        <f>IF(A328="","",IFERROR(P328/G328,""))</f>
        <v/>
      </c>
      <c r="R328" s="14">
        <f>IF(OR(A328="",G328=""),"",COUNTIFS($N$2:$N$1000,"&gt;0",$G$2:$G$1000,"&gt;"&amp;G328)+COUNTIFS($N$2:N328,"&gt;0",$G$2:G328,G328))</f>
        <v/>
      </c>
    </row>
    <row r="329">
      <c r="A329" s="9" t="n"/>
      <c r="B329" s="10" t="n"/>
      <c r="C329" s="10" t="n"/>
      <c r="D329" s="10" t="n"/>
      <c r="E329" s="10" t="n"/>
      <c r="F329" s="12" t="n"/>
      <c r="G329" s="13" t="n"/>
      <c r="H329" s="13" t="n"/>
      <c r="I329" s="13" t="n"/>
      <c r="J329" s="13" t="n"/>
      <c r="K329" s="13" t="n"/>
      <c r="L329" s="10" t="n"/>
      <c r="M329" s="10" t="n"/>
      <c r="N329" s="14">
        <f>IF(A329="","",WEEKNUM(A329,2))</f>
        <v/>
      </c>
      <c r="O329" s="15">
        <f>IF(OR(A329="",F329=""),"",LOOKUP(F329,Lists!$F$2:$F$5,Lists!$G$2:$G$5))</f>
        <v/>
      </c>
      <c r="P329" s="16">
        <f>IF(A329="","",SUM(H329:K329))</f>
        <v/>
      </c>
      <c r="Q329" s="17">
        <f>IF(A329="","",IFERROR(P329/G329,""))</f>
        <v/>
      </c>
      <c r="R329" s="14">
        <f>IF(OR(A329="",G329=""),"",COUNTIFS($N$2:$N$1000,"&gt;0",$G$2:$G$1000,"&gt;"&amp;G329)+COUNTIFS($N$2:N329,"&gt;0",$G$2:G329,G329))</f>
        <v/>
      </c>
    </row>
    <row r="330">
      <c r="A330" s="9" t="n"/>
      <c r="B330" s="10" t="n"/>
      <c r="C330" s="10" t="n"/>
      <c r="D330" s="10" t="n"/>
      <c r="E330" s="10" t="n"/>
      <c r="F330" s="12" t="n"/>
      <c r="G330" s="13" t="n"/>
      <c r="H330" s="13" t="n"/>
      <c r="I330" s="13" t="n"/>
      <c r="J330" s="13" t="n"/>
      <c r="K330" s="13" t="n"/>
      <c r="L330" s="10" t="n"/>
      <c r="M330" s="10" t="n"/>
      <c r="N330" s="14">
        <f>IF(A330="","",WEEKNUM(A330,2))</f>
        <v/>
      </c>
      <c r="O330" s="15">
        <f>IF(OR(A330="",F330=""),"",LOOKUP(F330,Lists!$F$2:$F$5,Lists!$G$2:$G$5))</f>
        <v/>
      </c>
      <c r="P330" s="16">
        <f>IF(A330="","",SUM(H330:K330))</f>
        <v/>
      </c>
      <c r="Q330" s="17">
        <f>IF(A330="","",IFERROR(P330/G330,""))</f>
        <v/>
      </c>
      <c r="R330" s="14">
        <f>IF(OR(A330="",G330=""),"",COUNTIFS($N$2:$N$1000,"&gt;0",$G$2:$G$1000,"&gt;"&amp;G330)+COUNTIFS($N$2:N330,"&gt;0",$G$2:G330,G330))</f>
        <v/>
      </c>
    </row>
    <row r="331">
      <c r="A331" s="9" t="n"/>
      <c r="B331" s="10" t="n"/>
      <c r="C331" s="10" t="n"/>
      <c r="D331" s="10" t="n"/>
      <c r="E331" s="10" t="n"/>
      <c r="F331" s="12" t="n"/>
      <c r="G331" s="13" t="n"/>
      <c r="H331" s="13" t="n"/>
      <c r="I331" s="13" t="n"/>
      <c r="J331" s="13" t="n"/>
      <c r="K331" s="13" t="n"/>
      <c r="L331" s="10" t="n"/>
      <c r="M331" s="10" t="n"/>
      <c r="N331" s="14">
        <f>IF(A331="","",WEEKNUM(A331,2))</f>
        <v/>
      </c>
      <c r="O331" s="15">
        <f>IF(OR(A331="",F331=""),"",LOOKUP(F331,Lists!$F$2:$F$5,Lists!$G$2:$G$5))</f>
        <v/>
      </c>
      <c r="P331" s="16">
        <f>IF(A331="","",SUM(H331:K331))</f>
        <v/>
      </c>
      <c r="Q331" s="17">
        <f>IF(A331="","",IFERROR(P331/G331,""))</f>
        <v/>
      </c>
      <c r="R331" s="14">
        <f>IF(OR(A331="",G331=""),"",COUNTIFS($N$2:$N$1000,"&gt;0",$G$2:$G$1000,"&gt;"&amp;G331)+COUNTIFS($N$2:N331,"&gt;0",$G$2:G331,G331))</f>
        <v/>
      </c>
    </row>
    <row r="332">
      <c r="A332" s="9" t="n"/>
      <c r="B332" s="10" t="n"/>
      <c r="C332" s="10" t="n"/>
      <c r="D332" s="10" t="n"/>
      <c r="E332" s="10" t="n"/>
      <c r="F332" s="12" t="n"/>
      <c r="G332" s="13" t="n"/>
      <c r="H332" s="13" t="n"/>
      <c r="I332" s="13" t="n"/>
      <c r="J332" s="13" t="n"/>
      <c r="K332" s="13" t="n"/>
      <c r="L332" s="10" t="n"/>
      <c r="M332" s="10" t="n"/>
      <c r="N332" s="14">
        <f>IF(A332="","",WEEKNUM(A332,2))</f>
        <v/>
      </c>
      <c r="O332" s="15">
        <f>IF(OR(A332="",F332=""),"",LOOKUP(F332,Lists!$F$2:$F$5,Lists!$G$2:$G$5))</f>
        <v/>
      </c>
      <c r="P332" s="16">
        <f>IF(A332="","",SUM(H332:K332))</f>
        <v/>
      </c>
      <c r="Q332" s="17">
        <f>IF(A332="","",IFERROR(P332/G332,""))</f>
        <v/>
      </c>
      <c r="R332" s="14">
        <f>IF(OR(A332="",G332=""),"",COUNTIFS($N$2:$N$1000,"&gt;0",$G$2:$G$1000,"&gt;"&amp;G332)+COUNTIFS($N$2:N332,"&gt;0",$G$2:G332,G332))</f>
        <v/>
      </c>
    </row>
    <row r="333">
      <c r="A333" s="9" t="n"/>
      <c r="B333" s="10" t="n"/>
      <c r="C333" s="10" t="n"/>
      <c r="D333" s="10" t="n"/>
      <c r="E333" s="10" t="n"/>
      <c r="F333" s="12" t="n"/>
      <c r="G333" s="13" t="n"/>
      <c r="H333" s="13" t="n"/>
      <c r="I333" s="13" t="n"/>
      <c r="J333" s="13" t="n"/>
      <c r="K333" s="13" t="n"/>
      <c r="L333" s="10" t="n"/>
      <c r="M333" s="10" t="n"/>
      <c r="N333" s="14">
        <f>IF(A333="","",WEEKNUM(A333,2))</f>
        <v/>
      </c>
      <c r="O333" s="15">
        <f>IF(OR(A333="",F333=""),"",LOOKUP(F333,Lists!$F$2:$F$5,Lists!$G$2:$G$5))</f>
        <v/>
      </c>
      <c r="P333" s="16">
        <f>IF(A333="","",SUM(H333:K333))</f>
        <v/>
      </c>
      <c r="Q333" s="17">
        <f>IF(A333="","",IFERROR(P333/G333,""))</f>
        <v/>
      </c>
      <c r="R333" s="14">
        <f>IF(OR(A333="",G333=""),"",COUNTIFS($N$2:$N$1000,"&gt;0",$G$2:$G$1000,"&gt;"&amp;G333)+COUNTIFS($N$2:N333,"&gt;0",$G$2:G333,G333))</f>
        <v/>
      </c>
    </row>
    <row r="334">
      <c r="A334" s="9" t="n"/>
      <c r="B334" s="10" t="n"/>
      <c r="C334" s="10" t="n"/>
      <c r="D334" s="10" t="n"/>
      <c r="E334" s="10" t="n"/>
      <c r="F334" s="12" t="n"/>
      <c r="G334" s="13" t="n"/>
      <c r="H334" s="13" t="n"/>
      <c r="I334" s="13" t="n"/>
      <c r="J334" s="13" t="n"/>
      <c r="K334" s="13" t="n"/>
      <c r="L334" s="10" t="n"/>
      <c r="M334" s="10" t="n"/>
      <c r="N334" s="14">
        <f>IF(A334="","",WEEKNUM(A334,2))</f>
        <v/>
      </c>
      <c r="O334" s="15">
        <f>IF(OR(A334="",F334=""),"",LOOKUP(F334,Lists!$F$2:$F$5,Lists!$G$2:$G$5))</f>
        <v/>
      </c>
      <c r="P334" s="16">
        <f>IF(A334="","",SUM(H334:K334))</f>
        <v/>
      </c>
      <c r="Q334" s="17">
        <f>IF(A334="","",IFERROR(P334/G334,""))</f>
        <v/>
      </c>
      <c r="R334" s="14">
        <f>IF(OR(A334="",G334=""),"",COUNTIFS($N$2:$N$1000,"&gt;0",$G$2:$G$1000,"&gt;"&amp;G334)+COUNTIFS($N$2:N334,"&gt;0",$G$2:G334,G334))</f>
        <v/>
      </c>
    </row>
    <row r="335">
      <c r="A335" s="9" t="n"/>
      <c r="B335" s="10" t="n"/>
      <c r="C335" s="10" t="n"/>
      <c r="D335" s="10" t="n"/>
      <c r="E335" s="10" t="n"/>
      <c r="F335" s="12" t="n"/>
      <c r="G335" s="13" t="n"/>
      <c r="H335" s="13" t="n"/>
      <c r="I335" s="13" t="n"/>
      <c r="J335" s="13" t="n"/>
      <c r="K335" s="13" t="n"/>
      <c r="L335" s="10" t="n"/>
      <c r="M335" s="10" t="n"/>
      <c r="N335" s="14">
        <f>IF(A335="","",WEEKNUM(A335,2))</f>
        <v/>
      </c>
      <c r="O335" s="15">
        <f>IF(OR(A335="",F335=""),"",LOOKUP(F335,Lists!$F$2:$F$5,Lists!$G$2:$G$5))</f>
        <v/>
      </c>
      <c r="P335" s="16">
        <f>IF(A335="","",SUM(H335:K335))</f>
        <v/>
      </c>
      <c r="Q335" s="17">
        <f>IF(A335="","",IFERROR(P335/G335,""))</f>
        <v/>
      </c>
      <c r="R335" s="14">
        <f>IF(OR(A335="",G335=""),"",COUNTIFS($N$2:$N$1000,"&gt;0",$G$2:$G$1000,"&gt;"&amp;G335)+COUNTIFS($N$2:N335,"&gt;0",$G$2:G335,G335))</f>
        <v/>
      </c>
    </row>
    <row r="336">
      <c r="A336" s="9" t="n"/>
      <c r="B336" s="10" t="n"/>
      <c r="C336" s="10" t="n"/>
      <c r="D336" s="10" t="n"/>
      <c r="E336" s="10" t="n"/>
      <c r="F336" s="12" t="n"/>
      <c r="G336" s="13" t="n"/>
      <c r="H336" s="13" t="n"/>
      <c r="I336" s="13" t="n"/>
      <c r="J336" s="13" t="n"/>
      <c r="K336" s="13" t="n"/>
      <c r="L336" s="10" t="n"/>
      <c r="M336" s="10" t="n"/>
      <c r="N336" s="14">
        <f>IF(A336="","",WEEKNUM(A336,2))</f>
        <v/>
      </c>
      <c r="O336" s="15">
        <f>IF(OR(A336="",F336=""),"",LOOKUP(F336,Lists!$F$2:$F$5,Lists!$G$2:$G$5))</f>
        <v/>
      </c>
      <c r="P336" s="16">
        <f>IF(A336="","",SUM(H336:K336))</f>
        <v/>
      </c>
      <c r="Q336" s="17">
        <f>IF(A336="","",IFERROR(P336/G336,""))</f>
        <v/>
      </c>
      <c r="R336" s="14">
        <f>IF(OR(A336="",G336=""),"",COUNTIFS($N$2:$N$1000,"&gt;0",$G$2:$G$1000,"&gt;"&amp;G336)+COUNTIFS($N$2:N336,"&gt;0",$G$2:G336,G336))</f>
        <v/>
      </c>
    </row>
    <row r="337">
      <c r="A337" s="9" t="n"/>
      <c r="B337" s="10" t="n"/>
      <c r="C337" s="10" t="n"/>
      <c r="D337" s="10" t="n"/>
      <c r="E337" s="10" t="n"/>
      <c r="F337" s="12" t="n"/>
      <c r="G337" s="13" t="n"/>
      <c r="H337" s="13" t="n"/>
      <c r="I337" s="13" t="n"/>
      <c r="J337" s="13" t="n"/>
      <c r="K337" s="13" t="n"/>
      <c r="L337" s="10" t="n"/>
      <c r="M337" s="10" t="n"/>
      <c r="N337" s="14">
        <f>IF(A337="","",WEEKNUM(A337,2))</f>
        <v/>
      </c>
      <c r="O337" s="15">
        <f>IF(OR(A337="",F337=""),"",LOOKUP(F337,Lists!$F$2:$F$5,Lists!$G$2:$G$5))</f>
        <v/>
      </c>
      <c r="P337" s="16">
        <f>IF(A337="","",SUM(H337:K337))</f>
        <v/>
      </c>
      <c r="Q337" s="17">
        <f>IF(A337="","",IFERROR(P337/G337,""))</f>
        <v/>
      </c>
      <c r="R337" s="14">
        <f>IF(OR(A337="",G337=""),"",COUNTIFS($N$2:$N$1000,"&gt;0",$G$2:$G$1000,"&gt;"&amp;G337)+COUNTIFS($N$2:N337,"&gt;0",$G$2:G337,G337))</f>
        <v/>
      </c>
    </row>
    <row r="338">
      <c r="A338" s="9" t="n"/>
      <c r="B338" s="10" t="n"/>
      <c r="C338" s="10" t="n"/>
      <c r="D338" s="10" t="n"/>
      <c r="E338" s="10" t="n"/>
      <c r="F338" s="12" t="n"/>
      <c r="G338" s="13" t="n"/>
      <c r="H338" s="13" t="n"/>
      <c r="I338" s="13" t="n"/>
      <c r="J338" s="13" t="n"/>
      <c r="K338" s="13" t="n"/>
      <c r="L338" s="10" t="n"/>
      <c r="M338" s="10" t="n"/>
      <c r="N338" s="14">
        <f>IF(A338="","",WEEKNUM(A338,2))</f>
        <v/>
      </c>
      <c r="O338" s="15">
        <f>IF(OR(A338="",F338=""),"",LOOKUP(F338,Lists!$F$2:$F$5,Lists!$G$2:$G$5))</f>
        <v/>
      </c>
      <c r="P338" s="16">
        <f>IF(A338="","",SUM(H338:K338))</f>
        <v/>
      </c>
      <c r="Q338" s="17">
        <f>IF(A338="","",IFERROR(P338/G338,""))</f>
        <v/>
      </c>
      <c r="R338" s="14">
        <f>IF(OR(A338="",G338=""),"",COUNTIFS($N$2:$N$1000,"&gt;0",$G$2:$G$1000,"&gt;"&amp;G338)+COUNTIFS($N$2:N338,"&gt;0",$G$2:G338,G338))</f>
        <v/>
      </c>
    </row>
    <row r="339">
      <c r="A339" s="9" t="n"/>
      <c r="B339" s="10" t="n"/>
      <c r="C339" s="10" t="n"/>
      <c r="D339" s="10" t="n"/>
      <c r="E339" s="10" t="n"/>
      <c r="F339" s="12" t="n"/>
      <c r="G339" s="13" t="n"/>
      <c r="H339" s="13" t="n"/>
      <c r="I339" s="13" t="n"/>
      <c r="J339" s="13" t="n"/>
      <c r="K339" s="13" t="n"/>
      <c r="L339" s="10" t="n"/>
      <c r="M339" s="10" t="n"/>
      <c r="N339" s="14">
        <f>IF(A339="","",WEEKNUM(A339,2))</f>
        <v/>
      </c>
      <c r="O339" s="15">
        <f>IF(OR(A339="",F339=""),"",LOOKUP(F339,Lists!$F$2:$F$5,Lists!$G$2:$G$5))</f>
        <v/>
      </c>
      <c r="P339" s="16">
        <f>IF(A339="","",SUM(H339:K339))</f>
        <v/>
      </c>
      <c r="Q339" s="17">
        <f>IF(A339="","",IFERROR(P339/G339,""))</f>
        <v/>
      </c>
      <c r="R339" s="14">
        <f>IF(OR(A339="",G339=""),"",COUNTIFS($N$2:$N$1000,"&gt;0",$G$2:$G$1000,"&gt;"&amp;G339)+COUNTIFS($N$2:N339,"&gt;0",$G$2:G339,G339))</f>
        <v/>
      </c>
    </row>
    <row r="340">
      <c r="A340" s="9" t="n"/>
      <c r="B340" s="10" t="n"/>
      <c r="C340" s="10" t="n"/>
      <c r="D340" s="10" t="n"/>
      <c r="E340" s="10" t="n"/>
      <c r="F340" s="12" t="n"/>
      <c r="G340" s="13" t="n"/>
      <c r="H340" s="13" t="n"/>
      <c r="I340" s="13" t="n"/>
      <c r="J340" s="13" t="n"/>
      <c r="K340" s="13" t="n"/>
      <c r="L340" s="10" t="n"/>
      <c r="M340" s="10" t="n"/>
      <c r="N340" s="14">
        <f>IF(A340="","",WEEKNUM(A340,2))</f>
        <v/>
      </c>
      <c r="O340" s="15">
        <f>IF(OR(A340="",F340=""),"",LOOKUP(F340,Lists!$F$2:$F$5,Lists!$G$2:$G$5))</f>
        <v/>
      </c>
      <c r="P340" s="16">
        <f>IF(A340="","",SUM(H340:K340))</f>
        <v/>
      </c>
      <c r="Q340" s="17">
        <f>IF(A340="","",IFERROR(P340/G340,""))</f>
        <v/>
      </c>
      <c r="R340" s="14">
        <f>IF(OR(A340="",G340=""),"",COUNTIFS($N$2:$N$1000,"&gt;0",$G$2:$G$1000,"&gt;"&amp;G340)+COUNTIFS($N$2:N340,"&gt;0",$G$2:G340,G340))</f>
        <v/>
      </c>
    </row>
    <row r="341">
      <c r="A341" s="9" t="n"/>
      <c r="B341" s="10" t="n"/>
      <c r="C341" s="10" t="n"/>
      <c r="D341" s="10" t="n"/>
      <c r="E341" s="10" t="n"/>
      <c r="F341" s="12" t="n"/>
      <c r="G341" s="13" t="n"/>
      <c r="H341" s="13" t="n"/>
      <c r="I341" s="13" t="n"/>
      <c r="J341" s="13" t="n"/>
      <c r="K341" s="13" t="n"/>
      <c r="L341" s="10" t="n"/>
      <c r="M341" s="10" t="n"/>
      <c r="N341" s="14">
        <f>IF(A341="","",WEEKNUM(A341,2))</f>
        <v/>
      </c>
      <c r="O341" s="15">
        <f>IF(OR(A341="",F341=""),"",LOOKUP(F341,Lists!$F$2:$F$5,Lists!$G$2:$G$5))</f>
        <v/>
      </c>
      <c r="P341" s="16">
        <f>IF(A341="","",SUM(H341:K341))</f>
        <v/>
      </c>
      <c r="Q341" s="17">
        <f>IF(A341="","",IFERROR(P341/G341,""))</f>
        <v/>
      </c>
      <c r="R341" s="14">
        <f>IF(OR(A341="",G341=""),"",COUNTIFS($N$2:$N$1000,"&gt;0",$G$2:$G$1000,"&gt;"&amp;G341)+COUNTIFS($N$2:N341,"&gt;0",$G$2:G341,G341))</f>
        <v/>
      </c>
    </row>
    <row r="342">
      <c r="A342" s="9" t="n"/>
      <c r="B342" s="10" t="n"/>
      <c r="C342" s="10" t="n"/>
      <c r="D342" s="10" t="n"/>
      <c r="E342" s="10" t="n"/>
      <c r="F342" s="12" t="n"/>
      <c r="G342" s="13" t="n"/>
      <c r="H342" s="13" t="n"/>
      <c r="I342" s="13" t="n"/>
      <c r="J342" s="13" t="n"/>
      <c r="K342" s="13" t="n"/>
      <c r="L342" s="10" t="n"/>
      <c r="M342" s="10" t="n"/>
      <c r="N342" s="14">
        <f>IF(A342="","",WEEKNUM(A342,2))</f>
        <v/>
      </c>
      <c r="O342" s="15">
        <f>IF(OR(A342="",F342=""),"",LOOKUP(F342,Lists!$F$2:$F$5,Lists!$G$2:$G$5))</f>
        <v/>
      </c>
      <c r="P342" s="16">
        <f>IF(A342="","",SUM(H342:K342))</f>
        <v/>
      </c>
      <c r="Q342" s="17">
        <f>IF(A342="","",IFERROR(P342/G342,""))</f>
        <v/>
      </c>
      <c r="R342" s="14">
        <f>IF(OR(A342="",G342=""),"",COUNTIFS($N$2:$N$1000,"&gt;0",$G$2:$G$1000,"&gt;"&amp;G342)+COUNTIFS($N$2:N342,"&gt;0",$G$2:G342,G342))</f>
        <v/>
      </c>
    </row>
    <row r="343">
      <c r="A343" s="9" t="n"/>
      <c r="B343" s="10" t="n"/>
      <c r="C343" s="10" t="n"/>
      <c r="D343" s="10" t="n"/>
      <c r="E343" s="10" t="n"/>
      <c r="F343" s="12" t="n"/>
      <c r="G343" s="13" t="n"/>
      <c r="H343" s="13" t="n"/>
      <c r="I343" s="13" t="n"/>
      <c r="J343" s="13" t="n"/>
      <c r="K343" s="13" t="n"/>
      <c r="L343" s="10" t="n"/>
      <c r="M343" s="10" t="n"/>
      <c r="N343" s="14">
        <f>IF(A343="","",WEEKNUM(A343,2))</f>
        <v/>
      </c>
      <c r="O343" s="15">
        <f>IF(OR(A343="",F343=""),"",LOOKUP(F343,Lists!$F$2:$F$5,Lists!$G$2:$G$5))</f>
        <v/>
      </c>
      <c r="P343" s="16">
        <f>IF(A343="","",SUM(H343:K343))</f>
        <v/>
      </c>
      <c r="Q343" s="17">
        <f>IF(A343="","",IFERROR(P343/G343,""))</f>
        <v/>
      </c>
      <c r="R343" s="14">
        <f>IF(OR(A343="",G343=""),"",COUNTIFS($N$2:$N$1000,"&gt;0",$G$2:$G$1000,"&gt;"&amp;G343)+COUNTIFS($N$2:N343,"&gt;0",$G$2:G343,G343))</f>
        <v/>
      </c>
    </row>
    <row r="344">
      <c r="A344" s="9" t="n"/>
      <c r="B344" s="10" t="n"/>
      <c r="C344" s="10" t="n"/>
      <c r="D344" s="10" t="n"/>
      <c r="E344" s="10" t="n"/>
      <c r="F344" s="12" t="n"/>
      <c r="G344" s="13" t="n"/>
      <c r="H344" s="13" t="n"/>
      <c r="I344" s="13" t="n"/>
      <c r="J344" s="13" t="n"/>
      <c r="K344" s="13" t="n"/>
      <c r="L344" s="10" t="n"/>
      <c r="M344" s="10" t="n"/>
      <c r="N344" s="14">
        <f>IF(A344="","",WEEKNUM(A344,2))</f>
        <v/>
      </c>
      <c r="O344" s="15">
        <f>IF(OR(A344="",F344=""),"",LOOKUP(F344,Lists!$F$2:$F$5,Lists!$G$2:$G$5))</f>
        <v/>
      </c>
      <c r="P344" s="16">
        <f>IF(A344="","",SUM(H344:K344))</f>
        <v/>
      </c>
      <c r="Q344" s="17">
        <f>IF(A344="","",IFERROR(P344/G344,""))</f>
        <v/>
      </c>
      <c r="R344" s="14">
        <f>IF(OR(A344="",G344=""),"",COUNTIFS($N$2:$N$1000,"&gt;0",$G$2:$G$1000,"&gt;"&amp;G344)+COUNTIFS($N$2:N344,"&gt;0",$G$2:G344,G344))</f>
        <v/>
      </c>
    </row>
    <row r="345">
      <c r="A345" s="9" t="n"/>
      <c r="B345" s="10" t="n"/>
      <c r="C345" s="10" t="n"/>
      <c r="D345" s="10" t="n"/>
      <c r="E345" s="10" t="n"/>
      <c r="F345" s="12" t="n"/>
      <c r="G345" s="13" t="n"/>
      <c r="H345" s="13" t="n"/>
      <c r="I345" s="13" t="n"/>
      <c r="J345" s="13" t="n"/>
      <c r="K345" s="13" t="n"/>
      <c r="L345" s="10" t="n"/>
      <c r="M345" s="10" t="n"/>
      <c r="N345" s="14">
        <f>IF(A345="","",WEEKNUM(A345,2))</f>
        <v/>
      </c>
      <c r="O345" s="15">
        <f>IF(OR(A345="",F345=""),"",LOOKUP(F345,Lists!$F$2:$F$5,Lists!$G$2:$G$5))</f>
        <v/>
      </c>
      <c r="P345" s="16">
        <f>IF(A345="","",SUM(H345:K345))</f>
        <v/>
      </c>
      <c r="Q345" s="17">
        <f>IF(A345="","",IFERROR(P345/G345,""))</f>
        <v/>
      </c>
      <c r="R345" s="14">
        <f>IF(OR(A345="",G345=""),"",COUNTIFS($N$2:$N$1000,"&gt;0",$G$2:$G$1000,"&gt;"&amp;G345)+COUNTIFS($N$2:N345,"&gt;0",$G$2:G345,G345))</f>
        <v/>
      </c>
    </row>
    <row r="346">
      <c r="A346" s="9" t="n"/>
      <c r="B346" s="10" t="n"/>
      <c r="C346" s="10" t="n"/>
      <c r="D346" s="10" t="n"/>
      <c r="E346" s="10" t="n"/>
      <c r="F346" s="12" t="n"/>
      <c r="G346" s="13" t="n"/>
      <c r="H346" s="13" t="n"/>
      <c r="I346" s="13" t="n"/>
      <c r="J346" s="13" t="n"/>
      <c r="K346" s="13" t="n"/>
      <c r="L346" s="10" t="n"/>
      <c r="M346" s="10" t="n"/>
      <c r="N346" s="14">
        <f>IF(A346="","",WEEKNUM(A346,2))</f>
        <v/>
      </c>
      <c r="O346" s="15">
        <f>IF(OR(A346="",F346=""),"",LOOKUP(F346,Lists!$F$2:$F$5,Lists!$G$2:$G$5))</f>
        <v/>
      </c>
      <c r="P346" s="16">
        <f>IF(A346="","",SUM(H346:K346))</f>
        <v/>
      </c>
      <c r="Q346" s="17">
        <f>IF(A346="","",IFERROR(P346/G346,""))</f>
        <v/>
      </c>
      <c r="R346" s="14">
        <f>IF(OR(A346="",G346=""),"",COUNTIFS($N$2:$N$1000,"&gt;0",$G$2:$G$1000,"&gt;"&amp;G346)+COUNTIFS($N$2:N346,"&gt;0",$G$2:G346,G346))</f>
        <v/>
      </c>
    </row>
    <row r="347">
      <c r="A347" s="9" t="n"/>
      <c r="B347" s="10" t="n"/>
      <c r="C347" s="10" t="n"/>
      <c r="D347" s="10" t="n"/>
      <c r="E347" s="10" t="n"/>
      <c r="F347" s="12" t="n"/>
      <c r="G347" s="13" t="n"/>
      <c r="H347" s="13" t="n"/>
      <c r="I347" s="13" t="n"/>
      <c r="J347" s="13" t="n"/>
      <c r="K347" s="13" t="n"/>
      <c r="L347" s="10" t="n"/>
      <c r="M347" s="10" t="n"/>
      <c r="N347" s="14">
        <f>IF(A347="","",WEEKNUM(A347,2))</f>
        <v/>
      </c>
      <c r="O347" s="15">
        <f>IF(OR(A347="",F347=""),"",LOOKUP(F347,Lists!$F$2:$F$5,Lists!$G$2:$G$5))</f>
        <v/>
      </c>
      <c r="P347" s="16">
        <f>IF(A347="","",SUM(H347:K347))</f>
        <v/>
      </c>
      <c r="Q347" s="17">
        <f>IF(A347="","",IFERROR(P347/G347,""))</f>
        <v/>
      </c>
      <c r="R347" s="14">
        <f>IF(OR(A347="",G347=""),"",COUNTIFS($N$2:$N$1000,"&gt;0",$G$2:$G$1000,"&gt;"&amp;G347)+COUNTIFS($N$2:N347,"&gt;0",$G$2:G347,G347))</f>
        <v/>
      </c>
    </row>
    <row r="348">
      <c r="A348" s="9" t="n"/>
      <c r="B348" s="10" t="n"/>
      <c r="C348" s="10" t="n"/>
      <c r="D348" s="10" t="n"/>
      <c r="E348" s="10" t="n"/>
      <c r="F348" s="12" t="n"/>
      <c r="G348" s="13" t="n"/>
      <c r="H348" s="13" t="n"/>
      <c r="I348" s="13" t="n"/>
      <c r="J348" s="13" t="n"/>
      <c r="K348" s="13" t="n"/>
      <c r="L348" s="10" t="n"/>
      <c r="M348" s="10" t="n"/>
      <c r="N348" s="14">
        <f>IF(A348="","",WEEKNUM(A348,2))</f>
        <v/>
      </c>
      <c r="O348" s="15">
        <f>IF(OR(A348="",F348=""),"",LOOKUP(F348,Lists!$F$2:$F$5,Lists!$G$2:$G$5))</f>
        <v/>
      </c>
      <c r="P348" s="16">
        <f>IF(A348="","",SUM(H348:K348))</f>
        <v/>
      </c>
      <c r="Q348" s="17">
        <f>IF(A348="","",IFERROR(P348/G348,""))</f>
        <v/>
      </c>
      <c r="R348" s="14">
        <f>IF(OR(A348="",G348=""),"",COUNTIFS($N$2:$N$1000,"&gt;0",$G$2:$G$1000,"&gt;"&amp;G348)+COUNTIFS($N$2:N348,"&gt;0",$G$2:G348,G348))</f>
        <v/>
      </c>
    </row>
    <row r="349">
      <c r="A349" s="9" t="n"/>
      <c r="B349" s="10" t="n"/>
      <c r="C349" s="10" t="n"/>
      <c r="D349" s="10" t="n"/>
      <c r="E349" s="10" t="n"/>
      <c r="F349" s="12" t="n"/>
      <c r="G349" s="13" t="n"/>
      <c r="H349" s="13" t="n"/>
      <c r="I349" s="13" t="n"/>
      <c r="J349" s="13" t="n"/>
      <c r="K349" s="13" t="n"/>
      <c r="L349" s="10" t="n"/>
      <c r="M349" s="10" t="n"/>
      <c r="N349" s="14">
        <f>IF(A349="","",WEEKNUM(A349,2))</f>
        <v/>
      </c>
      <c r="O349" s="15">
        <f>IF(OR(A349="",F349=""),"",LOOKUP(F349,Lists!$F$2:$F$5,Lists!$G$2:$G$5))</f>
        <v/>
      </c>
      <c r="P349" s="16">
        <f>IF(A349="","",SUM(H349:K349))</f>
        <v/>
      </c>
      <c r="Q349" s="17">
        <f>IF(A349="","",IFERROR(P349/G349,""))</f>
        <v/>
      </c>
      <c r="R349" s="14">
        <f>IF(OR(A349="",G349=""),"",COUNTIFS($N$2:$N$1000,"&gt;0",$G$2:$G$1000,"&gt;"&amp;G349)+COUNTIFS($N$2:N349,"&gt;0",$G$2:G349,G349))</f>
        <v/>
      </c>
    </row>
    <row r="350">
      <c r="A350" s="9" t="n"/>
      <c r="B350" s="10" t="n"/>
      <c r="C350" s="10" t="n"/>
      <c r="D350" s="10" t="n"/>
      <c r="E350" s="10" t="n"/>
      <c r="F350" s="12" t="n"/>
      <c r="G350" s="13" t="n"/>
      <c r="H350" s="13" t="n"/>
      <c r="I350" s="13" t="n"/>
      <c r="J350" s="13" t="n"/>
      <c r="K350" s="13" t="n"/>
      <c r="L350" s="10" t="n"/>
      <c r="M350" s="10" t="n"/>
      <c r="N350" s="14">
        <f>IF(A350="","",WEEKNUM(A350,2))</f>
        <v/>
      </c>
      <c r="O350" s="15">
        <f>IF(OR(A350="",F350=""),"",LOOKUP(F350,Lists!$F$2:$F$5,Lists!$G$2:$G$5))</f>
        <v/>
      </c>
      <c r="P350" s="16">
        <f>IF(A350="","",SUM(H350:K350))</f>
        <v/>
      </c>
      <c r="Q350" s="17">
        <f>IF(A350="","",IFERROR(P350/G350,""))</f>
        <v/>
      </c>
      <c r="R350" s="14">
        <f>IF(OR(A350="",G350=""),"",COUNTIFS($N$2:$N$1000,"&gt;0",$G$2:$G$1000,"&gt;"&amp;G350)+COUNTIFS($N$2:N350,"&gt;0",$G$2:G350,G350))</f>
        <v/>
      </c>
    </row>
    <row r="351">
      <c r="A351" s="9" t="n"/>
      <c r="B351" s="10" t="n"/>
      <c r="C351" s="10" t="n"/>
      <c r="D351" s="10" t="n"/>
      <c r="E351" s="10" t="n"/>
      <c r="F351" s="12" t="n"/>
      <c r="G351" s="13" t="n"/>
      <c r="H351" s="13" t="n"/>
      <c r="I351" s="13" t="n"/>
      <c r="J351" s="13" t="n"/>
      <c r="K351" s="13" t="n"/>
      <c r="L351" s="10" t="n"/>
      <c r="M351" s="10" t="n"/>
      <c r="N351" s="14">
        <f>IF(A351="","",WEEKNUM(A351,2))</f>
        <v/>
      </c>
      <c r="O351" s="15">
        <f>IF(OR(A351="",F351=""),"",LOOKUP(F351,Lists!$F$2:$F$5,Lists!$G$2:$G$5))</f>
        <v/>
      </c>
      <c r="P351" s="16">
        <f>IF(A351="","",SUM(H351:K351))</f>
        <v/>
      </c>
      <c r="Q351" s="17">
        <f>IF(A351="","",IFERROR(P351/G351,""))</f>
        <v/>
      </c>
      <c r="R351" s="14">
        <f>IF(OR(A351="",G351=""),"",COUNTIFS($N$2:$N$1000,"&gt;0",$G$2:$G$1000,"&gt;"&amp;G351)+COUNTIFS($N$2:N351,"&gt;0",$G$2:G351,G351))</f>
        <v/>
      </c>
    </row>
    <row r="352">
      <c r="A352" s="9" t="n"/>
      <c r="B352" s="10" t="n"/>
      <c r="C352" s="10" t="n"/>
      <c r="D352" s="10" t="n"/>
      <c r="E352" s="10" t="n"/>
      <c r="F352" s="12" t="n"/>
      <c r="G352" s="13" t="n"/>
      <c r="H352" s="13" t="n"/>
      <c r="I352" s="13" t="n"/>
      <c r="J352" s="13" t="n"/>
      <c r="K352" s="13" t="n"/>
      <c r="L352" s="10" t="n"/>
      <c r="M352" s="10" t="n"/>
      <c r="N352" s="14">
        <f>IF(A352="","",WEEKNUM(A352,2))</f>
        <v/>
      </c>
      <c r="O352" s="15">
        <f>IF(OR(A352="",F352=""),"",LOOKUP(F352,Lists!$F$2:$F$5,Lists!$G$2:$G$5))</f>
        <v/>
      </c>
      <c r="P352" s="16">
        <f>IF(A352="","",SUM(H352:K352))</f>
        <v/>
      </c>
      <c r="Q352" s="17">
        <f>IF(A352="","",IFERROR(P352/G352,""))</f>
        <v/>
      </c>
      <c r="R352" s="14">
        <f>IF(OR(A352="",G352=""),"",COUNTIFS($N$2:$N$1000,"&gt;0",$G$2:$G$1000,"&gt;"&amp;G352)+COUNTIFS($N$2:N352,"&gt;0",$G$2:G352,G352))</f>
        <v/>
      </c>
    </row>
    <row r="353">
      <c r="A353" s="9" t="n"/>
      <c r="B353" s="10" t="n"/>
      <c r="C353" s="10" t="n"/>
      <c r="D353" s="10" t="n"/>
      <c r="E353" s="10" t="n"/>
      <c r="F353" s="12" t="n"/>
      <c r="G353" s="13" t="n"/>
      <c r="H353" s="13" t="n"/>
      <c r="I353" s="13" t="n"/>
      <c r="J353" s="13" t="n"/>
      <c r="K353" s="13" t="n"/>
      <c r="L353" s="10" t="n"/>
      <c r="M353" s="10" t="n"/>
      <c r="N353" s="14">
        <f>IF(A353="","",WEEKNUM(A353,2))</f>
        <v/>
      </c>
      <c r="O353" s="15">
        <f>IF(OR(A353="",F353=""),"",LOOKUP(F353,Lists!$F$2:$F$5,Lists!$G$2:$G$5))</f>
        <v/>
      </c>
      <c r="P353" s="16">
        <f>IF(A353="","",SUM(H353:K353))</f>
        <v/>
      </c>
      <c r="Q353" s="17">
        <f>IF(A353="","",IFERROR(P353/G353,""))</f>
        <v/>
      </c>
      <c r="R353" s="14">
        <f>IF(OR(A353="",G353=""),"",COUNTIFS($N$2:$N$1000,"&gt;0",$G$2:$G$1000,"&gt;"&amp;G353)+COUNTIFS($N$2:N353,"&gt;0",$G$2:G353,G353))</f>
        <v/>
      </c>
    </row>
    <row r="354">
      <c r="A354" s="9" t="n"/>
      <c r="B354" s="10" t="n"/>
      <c r="C354" s="10" t="n"/>
      <c r="D354" s="10" t="n"/>
      <c r="E354" s="10" t="n"/>
      <c r="F354" s="12" t="n"/>
      <c r="G354" s="13" t="n"/>
      <c r="H354" s="13" t="n"/>
      <c r="I354" s="13" t="n"/>
      <c r="J354" s="13" t="n"/>
      <c r="K354" s="13" t="n"/>
      <c r="L354" s="10" t="n"/>
      <c r="M354" s="10" t="n"/>
      <c r="N354" s="14">
        <f>IF(A354="","",WEEKNUM(A354,2))</f>
        <v/>
      </c>
      <c r="O354" s="15">
        <f>IF(OR(A354="",F354=""),"",LOOKUP(F354,Lists!$F$2:$F$5,Lists!$G$2:$G$5))</f>
        <v/>
      </c>
      <c r="P354" s="16">
        <f>IF(A354="","",SUM(H354:K354))</f>
        <v/>
      </c>
      <c r="Q354" s="17">
        <f>IF(A354="","",IFERROR(P354/G354,""))</f>
        <v/>
      </c>
      <c r="R354" s="14">
        <f>IF(OR(A354="",G354=""),"",COUNTIFS($N$2:$N$1000,"&gt;0",$G$2:$G$1000,"&gt;"&amp;G354)+COUNTIFS($N$2:N354,"&gt;0",$G$2:G354,G354))</f>
        <v/>
      </c>
    </row>
    <row r="355">
      <c r="A355" s="9" t="n"/>
      <c r="B355" s="10" t="n"/>
      <c r="C355" s="10" t="n"/>
      <c r="D355" s="10" t="n"/>
      <c r="E355" s="10" t="n"/>
      <c r="F355" s="12" t="n"/>
      <c r="G355" s="13" t="n"/>
      <c r="H355" s="13" t="n"/>
      <c r="I355" s="13" t="n"/>
      <c r="J355" s="13" t="n"/>
      <c r="K355" s="13" t="n"/>
      <c r="L355" s="10" t="n"/>
      <c r="M355" s="10" t="n"/>
      <c r="N355" s="14">
        <f>IF(A355="","",WEEKNUM(A355,2))</f>
        <v/>
      </c>
      <c r="O355" s="15">
        <f>IF(OR(A355="",F355=""),"",LOOKUP(F355,Lists!$F$2:$F$5,Lists!$G$2:$G$5))</f>
        <v/>
      </c>
      <c r="P355" s="16">
        <f>IF(A355="","",SUM(H355:K355))</f>
        <v/>
      </c>
      <c r="Q355" s="17">
        <f>IF(A355="","",IFERROR(P355/G355,""))</f>
        <v/>
      </c>
      <c r="R355" s="14">
        <f>IF(OR(A355="",G355=""),"",COUNTIFS($N$2:$N$1000,"&gt;0",$G$2:$G$1000,"&gt;"&amp;G355)+COUNTIFS($N$2:N355,"&gt;0",$G$2:G355,G355))</f>
        <v/>
      </c>
    </row>
    <row r="356">
      <c r="A356" s="9" t="n"/>
      <c r="B356" s="10" t="n"/>
      <c r="C356" s="10" t="n"/>
      <c r="D356" s="10" t="n"/>
      <c r="E356" s="10" t="n"/>
      <c r="F356" s="12" t="n"/>
      <c r="G356" s="13" t="n"/>
      <c r="H356" s="13" t="n"/>
      <c r="I356" s="13" t="n"/>
      <c r="J356" s="13" t="n"/>
      <c r="K356" s="13" t="n"/>
      <c r="L356" s="10" t="n"/>
      <c r="M356" s="10" t="n"/>
      <c r="N356" s="14">
        <f>IF(A356="","",WEEKNUM(A356,2))</f>
        <v/>
      </c>
      <c r="O356" s="15">
        <f>IF(OR(A356="",F356=""),"",LOOKUP(F356,Lists!$F$2:$F$5,Lists!$G$2:$G$5))</f>
        <v/>
      </c>
      <c r="P356" s="16">
        <f>IF(A356="","",SUM(H356:K356))</f>
        <v/>
      </c>
      <c r="Q356" s="17">
        <f>IF(A356="","",IFERROR(P356/G356,""))</f>
        <v/>
      </c>
      <c r="R356" s="14">
        <f>IF(OR(A356="",G356=""),"",COUNTIFS($N$2:$N$1000,"&gt;0",$G$2:$G$1000,"&gt;"&amp;G356)+COUNTIFS($N$2:N356,"&gt;0",$G$2:G356,G356))</f>
        <v/>
      </c>
    </row>
    <row r="357">
      <c r="A357" s="9" t="n"/>
      <c r="B357" s="10" t="n"/>
      <c r="C357" s="10" t="n"/>
      <c r="D357" s="10" t="n"/>
      <c r="E357" s="10" t="n"/>
      <c r="F357" s="12" t="n"/>
      <c r="G357" s="13" t="n"/>
      <c r="H357" s="13" t="n"/>
      <c r="I357" s="13" t="n"/>
      <c r="J357" s="13" t="n"/>
      <c r="K357" s="13" t="n"/>
      <c r="L357" s="10" t="n"/>
      <c r="M357" s="10" t="n"/>
      <c r="N357" s="14">
        <f>IF(A357="","",WEEKNUM(A357,2))</f>
        <v/>
      </c>
      <c r="O357" s="15">
        <f>IF(OR(A357="",F357=""),"",LOOKUP(F357,Lists!$F$2:$F$5,Lists!$G$2:$G$5))</f>
        <v/>
      </c>
      <c r="P357" s="16">
        <f>IF(A357="","",SUM(H357:K357))</f>
        <v/>
      </c>
      <c r="Q357" s="17">
        <f>IF(A357="","",IFERROR(P357/G357,""))</f>
        <v/>
      </c>
      <c r="R357" s="14">
        <f>IF(OR(A357="",G357=""),"",COUNTIFS($N$2:$N$1000,"&gt;0",$G$2:$G$1000,"&gt;"&amp;G357)+COUNTIFS($N$2:N357,"&gt;0",$G$2:G357,G357))</f>
        <v/>
      </c>
    </row>
    <row r="358">
      <c r="A358" s="9" t="n"/>
      <c r="B358" s="10" t="n"/>
      <c r="C358" s="10" t="n"/>
      <c r="D358" s="10" t="n"/>
      <c r="E358" s="10" t="n"/>
      <c r="F358" s="12" t="n"/>
      <c r="G358" s="13" t="n"/>
      <c r="H358" s="13" t="n"/>
      <c r="I358" s="13" t="n"/>
      <c r="J358" s="13" t="n"/>
      <c r="K358" s="13" t="n"/>
      <c r="L358" s="10" t="n"/>
      <c r="M358" s="10" t="n"/>
      <c r="N358" s="14">
        <f>IF(A358="","",WEEKNUM(A358,2))</f>
        <v/>
      </c>
      <c r="O358" s="15">
        <f>IF(OR(A358="",F358=""),"",LOOKUP(F358,Lists!$F$2:$F$5,Lists!$G$2:$G$5))</f>
        <v/>
      </c>
      <c r="P358" s="16">
        <f>IF(A358="","",SUM(H358:K358))</f>
        <v/>
      </c>
      <c r="Q358" s="17">
        <f>IF(A358="","",IFERROR(P358/G358,""))</f>
        <v/>
      </c>
      <c r="R358" s="14">
        <f>IF(OR(A358="",G358=""),"",COUNTIFS($N$2:$N$1000,"&gt;0",$G$2:$G$1000,"&gt;"&amp;G358)+COUNTIFS($N$2:N358,"&gt;0",$G$2:G358,G358))</f>
        <v/>
      </c>
    </row>
    <row r="359">
      <c r="A359" s="9" t="n"/>
      <c r="B359" s="10" t="n"/>
      <c r="C359" s="10" t="n"/>
      <c r="D359" s="10" t="n"/>
      <c r="E359" s="10" t="n"/>
      <c r="F359" s="12" t="n"/>
      <c r="G359" s="13" t="n"/>
      <c r="H359" s="13" t="n"/>
      <c r="I359" s="13" t="n"/>
      <c r="J359" s="13" t="n"/>
      <c r="K359" s="13" t="n"/>
      <c r="L359" s="10" t="n"/>
      <c r="M359" s="10" t="n"/>
      <c r="N359" s="14">
        <f>IF(A359="","",WEEKNUM(A359,2))</f>
        <v/>
      </c>
      <c r="O359" s="15">
        <f>IF(OR(A359="",F359=""),"",LOOKUP(F359,Lists!$F$2:$F$5,Lists!$G$2:$G$5))</f>
        <v/>
      </c>
      <c r="P359" s="16">
        <f>IF(A359="","",SUM(H359:K359))</f>
        <v/>
      </c>
      <c r="Q359" s="17">
        <f>IF(A359="","",IFERROR(P359/G359,""))</f>
        <v/>
      </c>
      <c r="R359" s="14">
        <f>IF(OR(A359="",G359=""),"",COUNTIFS($N$2:$N$1000,"&gt;0",$G$2:$G$1000,"&gt;"&amp;G359)+COUNTIFS($N$2:N359,"&gt;0",$G$2:G359,G359))</f>
        <v/>
      </c>
    </row>
    <row r="360">
      <c r="A360" s="9" t="n"/>
      <c r="B360" s="10" t="n"/>
      <c r="C360" s="10" t="n"/>
      <c r="D360" s="10" t="n"/>
      <c r="E360" s="10" t="n"/>
      <c r="F360" s="12" t="n"/>
      <c r="G360" s="13" t="n"/>
      <c r="H360" s="13" t="n"/>
      <c r="I360" s="13" t="n"/>
      <c r="J360" s="13" t="n"/>
      <c r="K360" s="13" t="n"/>
      <c r="L360" s="10" t="n"/>
      <c r="M360" s="10" t="n"/>
      <c r="N360" s="14">
        <f>IF(A360="","",WEEKNUM(A360,2))</f>
        <v/>
      </c>
      <c r="O360" s="15">
        <f>IF(OR(A360="",F360=""),"",LOOKUP(F360,Lists!$F$2:$F$5,Lists!$G$2:$G$5))</f>
        <v/>
      </c>
      <c r="P360" s="16">
        <f>IF(A360="","",SUM(H360:K360))</f>
        <v/>
      </c>
      <c r="Q360" s="17">
        <f>IF(A360="","",IFERROR(P360/G360,""))</f>
        <v/>
      </c>
      <c r="R360" s="14">
        <f>IF(OR(A360="",G360=""),"",COUNTIFS($N$2:$N$1000,"&gt;0",$G$2:$G$1000,"&gt;"&amp;G360)+COUNTIFS($N$2:N360,"&gt;0",$G$2:G360,G360))</f>
        <v/>
      </c>
    </row>
    <row r="361">
      <c r="A361" s="9" t="n"/>
      <c r="B361" s="10" t="n"/>
      <c r="C361" s="10" t="n"/>
      <c r="D361" s="10" t="n"/>
      <c r="E361" s="10" t="n"/>
      <c r="F361" s="12" t="n"/>
      <c r="G361" s="13" t="n"/>
      <c r="H361" s="13" t="n"/>
      <c r="I361" s="13" t="n"/>
      <c r="J361" s="13" t="n"/>
      <c r="K361" s="13" t="n"/>
      <c r="L361" s="10" t="n"/>
      <c r="M361" s="10" t="n"/>
      <c r="N361" s="14">
        <f>IF(A361="","",WEEKNUM(A361,2))</f>
        <v/>
      </c>
      <c r="O361" s="15">
        <f>IF(OR(A361="",F361=""),"",LOOKUP(F361,Lists!$F$2:$F$5,Lists!$G$2:$G$5))</f>
        <v/>
      </c>
      <c r="P361" s="16">
        <f>IF(A361="","",SUM(H361:K361))</f>
        <v/>
      </c>
      <c r="Q361" s="17">
        <f>IF(A361="","",IFERROR(P361/G361,""))</f>
        <v/>
      </c>
      <c r="R361" s="14">
        <f>IF(OR(A361="",G361=""),"",COUNTIFS($N$2:$N$1000,"&gt;0",$G$2:$G$1000,"&gt;"&amp;G361)+COUNTIFS($N$2:N361,"&gt;0",$G$2:G361,G361))</f>
        <v/>
      </c>
    </row>
    <row r="362">
      <c r="A362" s="9" t="n"/>
      <c r="B362" s="10" t="n"/>
      <c r="C362" s="10" t="n"/>
      <c r="D362" s="10" t="n"/>
      <c r="E362" s="10" t="n"/>
      <c r="F362" s="12" t="n"/>
      <c r="G362" s="13" t="n"/>
      <c r="H362" s="13" t="n"/>
      <c r="I362" s="13" t="n"/>
      <c r="J362" s="13" t="n"/>
      <c r="K362" s="13" t="n"/>
      <c r="L362" s="10" t="n"/>
      <c r="M362" s="10" t="n"/>
      <c r="N362" s="14">
        <f>IF(A362="","",WEEKNUM(A362,2))</f>
        <v/>
      </c>
      <c r="O362" s="15">
        <f>IF(OR(A362="",F362=""),"",LOOKUP(F362,Lists!$F$2:$F$5,Lists!$G$2:$G$5))</f>
        <v/>
      </c>
      <c r="P362" s="16">
        <f>IF(A362="","",SUM(H362:K362))</f>
        <v/>
      </c>
      <c r="Q362" s="17">
        <f>IF(A362="","",IFERROR(P362/G362,""))</f>
        <v/>
      </c>
      <c r="R362" s="14">
        <f>IF(OR(A362="",G362=""),"",COUNTIFS($N$2:$N$1000,"&gt;0",$G$2:$G$1000,"&gt;"&amp;G362)+COUNTIFS($N$2:N362,"&gt;0",$G$2:G362,G362))</f>
        <v/>
      </c>
    </row>
    <row r="363">
      <c r="A363" s="9" t="n"/>
      <c r="B363" s="10" t="n"/>
      <c r="C363" s="10" t="n"/>
      <c r="D363" s="10" t="n"/>
      <c r="E363" s="10" t="n"/>
      <c r="F363" s="12" t="n"/>
      <c r="G363" s="13" t="n"/>
      <c r="H363" s="13" t="n"/>
      <c r="I363" s="13" t="n"/>
      <c r="J363" s="13" t="n"/>
      <c r="K363" s="13" t="n"/>
      <c r="L363" s="10" t="n"/>
      <c r="M363" s="10" t="n"/>
      <c r="N363" s="14">
        <f>IF(A363="","",WEEKNUM(A363,2))</f>
        <v/>
      </c>
      <c r="O363" s="15">
        <f>IF(OR(A363="",F363=""),"",LOOKUP(F363,Lists!$F$2:$F$5,Lists!$G$2:$G$5))</f>
        <v/>
      </c>
      <c r="P363" s="16">
        <f>IF(A363="","",SUM(H363:K363))</f>
        <v/>
      </c>
      <c r="Q363" s="17">
        <f>IF(A363="","",IFERROR(P363/G363,""))</f>
        <v/>
      </c>
      <c r="R363" s="14">
        <f>IF(OR(A363="",G363=""),"",COUNTIFS($N$2:$N$1000,"&gt;0",$G$2:$G$1000,"&gt;"&amp;G363)+COUNTIFS($N$2:N363,"&gt;0",$G$2:G363,G363))</f>
        <v/>
      </c>
    </row>
    <row r="364">
      <c r="A364" s="9" t="n"/>
      <c r="B364" s="10" t="n"/>
      <c r="C364" s="10" t="n"/>
      <c r="D364" s="10" t="n"/>
      <c r="E364" s="10" t="n"/>
      <c r="F364" s="12" t="n"/>
      <c r="G364" s="13" t="n"/>
      <c r="H364" s="13" t="n"/>
      <c r="I364" s="13" t="n"/>
      <c r="J364" s="13" t="n"/>
      <c r="K364" s="13" t="n"/>
      <c r="L364" s="10" t="n"/>
      <c r="M364" s="10" t="n"/>
      <c r="N364" s="14">
        <f>IF(A364="","",WEEKNUM(A364,2))</f>
        <v/>
      </c>
      <c r="O364" s="15">
        <f>IF(OR(A364="",F364=""),"",LOOKUP(F364,Lists!$F$2:$F$5,Lists!$G$2:$G$5))</f>
        <v/>
      </c>
      <c r="P364" s="16">
        <f>IF(A364="","",SUM(H364:K364))</f>
        <v/>
      </c>
      <c r="Q364" s="17">
        <f>IF(A364="","",IFERROR(P364/G364,""))</f>
        <v/>
      </c>
      <c r="R364" s="14">
        <f>IF(OR(A364="",G364=""),"",COUNTIFS($N$2:$N$1000,"&gt;0",$G$2:$G$1000,"&gt;"&amp;G364)+COUNTIFS($N$2:N364,"&gt;0",$G$2:G364,G364))</f>
        <v/>
      </c>
    </row>
    <row r="365">
      <c r="A365" s="9" t="n"/>
      <c r="B365" s="10" t="n"/>
      <c r="C365" s="10" t="n"/>
      <c r="D365" s="10" t="n"/>
      <c r="E365" s="10" t="n"/>
      <c r="F365" s="12" t="n"/>
      <c r="G365" s="13" t="n"/>
      <c r="H365" s="13" t="n"/>
      <c r="I365" s="13" t="n"/>
      <c r="J365" s="13" t="n"/>
      <c r="K365" s="13" t="n"/>
      <c r="L365" s="10" t="n"/>
      <c r="M365" s="10" t="n"/>
      <c r="N365" s="14">
        <f>IF(A365="","",WEEKNUM(A365,2))</f>
        <v/>
      </c>
      <c r="O365" s="15">
        <f>IF(OR(A365="",F365=""),"",LOOKUP(F365,Lists!$F$2:$F$5,Lists!$G$2:$G$5))</f>
        <v/>
      </c>
      <c r="P365" s="16">
        <f>IF(A365="","",SUM(H365:K365))</f>
        <v/>
      </c>
      <c r="Q365" s="17">
        <f>IF(A365="","",IFERROR(P365/G365,""))</f>
        <v/>
      </c>
      <c r="R365" s="14">
        <f>IF(OR(A365="",G365=""),"",COUNTIFS($N$2:$N$1000,"&gt;0",$G$2:$G$1000,"&gt;"&amp;G365)+COUNTIFS($N$2:N365,"&gt;0",$G$2:G365,G365))</f>
        <v/>
      </c>
    </row>
    <row r="366">
      <c r="A366" s="9" t="n"/>
      <c r="B366" s="10" t="n"/>
      <c r="C366" s="10" t="n"/>
      <c r="D366" s="10" t="n"/>
      <c r="E366" s="10" t="n"/>
      <c r="F366" s="12" t="n"/>
      <c r="G366" s="13" t="n"/>
      <c r="H366" s="13" t="n"/>
      <c r="I366" s="13" t="n"/>
      <c r="J366" s="13" t="n"/>
      <c r="K366" s="13" t="n"/>
      <c r="L366" s="10" t="n"/>
      <c r="M366" s="10" t="n"/>
      <c r="N366" s="14">
        <f>IF(A366="","",WEEKNUM(A366,2))</f>
        <v/>
      </c>
      <c r="O366" s="15">
        <f>IF(OR(A366="",F366=""),"",LOOKUP(F366,Lists!$F$2:$F$5,Lists!$G$2:$G$5))</f>
        <v/>
      </c>
      <c r="P366" s="16">
        <f>IF(A366="","",SUM(H366:K366))</f>
        <v/>
      </c>
      <c r="Q366" s="17">
        <f>IF(A366="","",IFERROR(P366/G366,""))</f>
        <v/>
      </c>
      <c r="R366" s="14">
        <f>IF(OR(A366="",G366=""),"",COUNTIFS($N$2:$N$1000,"&gt;0",$G$2:$G$1000,"&gt;"&amp;G366)+COUNTIFS($N$2:N366,"&gt;0",$G$2:G366,G366))</f>
        <v/>
      </c>
    </row>
    <row r="367">
      <c r="A367" s="9" t="n"/>
      <c r="B367" s="10" t="n"/>
      <c r="C367" s="10" t="n"/>
      <c r="D367" s="10" t="n"/>
      <c r="E367" s="10" t="n"/>
      <c r="F367" s="12" t="n"/>
      <c r="G367" s="13" t="n"/>
      <c r="H367" s="13" t="n"/>
      <c r="I367" s="13" t="n"/>
      <c r="J367" s="13" t="n"/>
      <c r="K367" s="13" t="n"/>
      <c r="L367" s="10" t="n"/>
      <c r="M367" s="10" t="n"/>
      <c r="N367" s="14">
        <f>IF(A367="","",WEEKNUM(A367,2))</f>
        <v/>
      </c>
      <c r="O367" s="15">
        <f>IF(OR(A367="",F367=""),"",LOOKUP(F367,Lists!$F$2:$F$5,Lists!$G$2:$G$5))</f>
        <v/>
      </c>
      <c r="P367" s="16">
        <f>IF(A367="","",SUM(H367:K367))</f>
        <v/>
      </c>
      <c r="Q367" s="17">
        <f>IF(A367="","",IFERROR(P367/G367,""))</f>
        <v/>
      </c>
      <c r="R367" s="14">
        <f>IF(OR(A367="",G367=""),"",COUNTIFS($N$2:$N$1000,"&gt;0",$G$2:$G$1000,"&gt;"&amp;G367)+COUNTIFS($N$2:N367,"&gt;0",$G$2:G367,G367))</f>
        <v/>
      </c>
    </row>
    <row r="368">
      <c r="A368" s="9" t="n"/>
      <c r="B368" s="10" t="n"/>
      <c r="C368" s="10" t="n"/>
      <c r="D368" s="10" t="n"/>
      <c r="E368" s="10" t="n"/>
      <c r="F368" s="12" t="n"/>
      <c r="G368" s="13" t="n"/>
      <c r="H368" s="13" t="n"/>
      <c r="I368" s="13" t="n"/>
      <c r="J368" s="13" t="n"/>
      <c r="K368" s="13" t="n"/>
      <c r="L368" s="10" t="n"/>
      <c r="M368" s="10" t="n"/>
      <c r="N368" s="14">
        <f>IF(A368="","",WEEKNUM(A368,2))</f>
        <v/>
      </c>
      <c r="O368" s="15">
        <f>IF(OR(A368="",F368=""),"",LOOKUP(F368,Lists!$F$2:$F$5,Lists!$G$2:$G$5))</f>
        <v/>
      </c>
      <c r="P368" s="16">
        <f>IF(A368="","",SUM(H368:K368))</f>
        <v/>
      </c>
      <c r="Q368" s="17">
        <f>IF(A368="","",IFERROR(P368/G368,""))</f>
        <v/>
      </c>
      <c r="R368" s="14">
        <f>IF(OR(A368="",G368=""),"",COUNTIFS($N$2:$N$1000,"&gt;0",$G$2:$G$1000,"&gt;"&amp;G368)+COUNTIFS($N$2:N368,"&gt;0",$G$2:G368,G368))</f>
        <v/>
      </c>
    </row>
    <row r="369">
      <c r="A369" s="9" t="n"/>
      <c r="B369" s="10" t="n"/>
      <c r="C369" s="10" t="n"/>
      <c r="D369" s="10" t="n"/>
      <c r="E369" s="10" t="n"/>
      <c r="F369" s="12" t="n"/>
      <c r="G369" s="13" t="n"/>
      <c r="H369" s="13" t="n"/>
      <c r="I369" s="13" t="n"/>
      <c r="J369" s="13" t="n"/>
      <c r="K369" s="13" t="n"/>
      <c r="L369" s="10" t="n"/>
      <c r="M369" s="10" t="n"/>
      <c r="N369" s="14">
        <f>IF(A369="","",WEEKNUM(A369,2))</f>
        <v/>
      </c>
      <c r="O369" s="15">
        <f>IF(OR(A369="",F369=""),"",LOOKUP(F369,Lists!$F$2:$F$5,Lists!$G$2:$G$5))</f>
        <v/>
      </c>
      <c r="P369" s="16">
        <f>IF(A369="","",SUM(H369:K369))</f>
        <v/>
      </c>
      <c r="Q369" s="17">
        <f>IF(A369="","",IFERROR(P369/G369,""))</f>
        <v/>
      </c>
      <c r="R369" s="14">
        <f>IF(OR(A369="",G369=""),"",COUNTIFS($N$2:$N$1000,"&gt;0",$G$2:$G$1000,"&gt;"&amp;G369)+COUNTIFS($N$2:N369,"&gt;0",$G$2:G369,G369))</f>
        <v/>
      </c>
    </row>
    <row r="370">
      <c r="A370" s="9" t="n"/>
      <c r="B370" s="10" t="n"/>
      <c r="C370" s="10" t="n"/>
      <c r="D370" s="10" t="n"/>
      <c r="E370" s="10" t="n"/>
      <c r="F370" s="12" t="n"/>
      <c r="G370" s="13" t="n"/>
      <c r="H370" s="13" t="n"/>
      <c r="I370" s="13" t="n"/>
      <c r="J370" s="13" t="n"/>
      <c r="K370" s="13" t="n"/>
      <c r="L370" s="10" t="n"/>
      <c r="M370" s="10" t="n"/>
      <c r="N370" s="14">
        <f>IF(A370="","",WEEKNUM(A370,2))</f>
        <v/>
      </c>
      <c r="O370" s="15">
        <f>IF(OR(A370="",F370=""),"",LOOKUP(F370,Lists!$F$2:$F$5,Lists!$G$2:$G$5))</f>
        <v/>
      </c>
      <c r="P370" s="16">
        <f>IF(A370="","",SUM(H370:K370))</f>
        <v/>
      </c>
      <c r="Q370" s="17">
        <f>IF(A370="","",IFERROR(P370/G370,""))</f>
        <v/>
      </c>
      <c r="R370" s="14">
        <f>IF(OR(A370="",G370=""),"",COUNTIFS($N$2:$N$1000,"&gt;0",$G$2:$G$1000,"&gt;"&amp;G370)+COUNTIFS($N$2:N370,"&gt;0",$G$2:G370,G370))</f>
        <v/>
      </c>
    </row>
    <row r="371">
      <c r="A371" s="9" t="n"/>
      <c r="B371" s="10" t="n"/>
      <c r="C371" s="10" t="n"/>
      <c r="D371" s="10" t="n"/>
      <c r="E371" s="10" t="n"/>
      <c r="F371" s="12" t="n"/>
      <c r="G371" s="13" t="n"/>
      <c r="H371" s="13" t="n"/>
      <c r="I371" s="13" t="n"/>
      <c r="J371" s="13" t="n"/>
      <c r="K371" s="13" t="n"/>
      <c r="L371" s="10" t="n"/>
      <c r="M371" s="10" t="n"/>
      <c r="N371" s="14">
        <f>IF(A371="","",WEEKNUM(A371,2))</f>
        <v/>
      </c>
      <c r="O371" s="15">
        <f>IF(OR(A371="",F371=""),"",LOOKUP(F371,Lists!$F$2:$F$5,Lists!$G$2:$G$5))</f>
        <v/>
      </c>
      <c r="P371" s="16">
        <f>IF(A371="","",SUM(H371:K371))</f>
        <v/>
      </c>
      <c r="Q371" s="17">
        <f>IF(A371="","",IFERROR(P371/G371,""))</f>
        <v/>
      </c>
      <c r="R371" s="14">
        <f>IF(OR(A371="",G371=""),"",COUNTIFS($N$2:$N$1000,"&gt;0",$G$2:$G$1000,"&gt;"&amp;G371)+COUNTIFS($N$2:N371,"&gt;0",$G$2:G371,G371))</f>
        <v/>
      </c>
    </row>
    <row r="372">
      <c r="A372" s="9" t="n"/>
      <c r="B372" s="10" t="n"/>
      <c r="C372" s="10" t="n"/>
      <c r="D372" s="10" t="n"/>
      <c r="E372" s="10" t="n"/>
      <c r="F372" s="12" t="n"/>
      <c r="G372" s="13" t="n"/>
      <c r="H372" s="13" t="n"/>
      <c r="I372" s="13" t="n"/>
      <c r="J372" s="13" t="n"/>
      <c r="K372" s="13" t="n"/>
      <c r="L372" s="10" t="n"/>
      <c r="M372" s="10" t="n"/>
      <c r="N372" s="14">
        <f>IF(A372="","",WEEKNUM(A372,2))</f>
        <v/>
      </c>
      <c r="O372" s="15">
        <f>IF(OR(A372="",F372=""),"",LOOKUP(F372,Lists!$F$2:$F$5,Lists!$G$2:$G$5))</f>
        <v/>
      </c>
      <c r="P372" s="16">
        <f>IF(A372="","",SUM(H372:K372))</f>
        <v/>
      </c>
      <c r="Q372" s="17">
        <f>IF(A372="","",IFERROR(P372/G372,""))</f>
        <v/>
      </c>
      <c r="R372" s="14">
        <f>IF(OR(A372="",G372=""),"",COUNTIFS($N$2:$N$1000,"&gt;0",$G$2:$G$1000,"&gt;"&amp;G372)+COUNTIFS($N$2:N372,"&gt;0",$G$2:G372,G372))</f>
        <v/>
      </c>
    </row>
    <row r="373">
      <c r="A373" s="9" t="n"/>
      <c r="B373" s="10" t="n"/>
      <c r="C373" s="10" t="n"/>
      <c r="D373" s="10" t="n"/>
      <c r="E373" s="10" t="n"/>
      <c r="F373" s="12" t="n"/>
      <c r="G373" s="13" t="n"/>
      <c r="H373" s="13" t="n"/>
      <c r="I373" s="13" t="n"/>
      <c r="J373" s="13" t="n"/>
      <c r="K373" s="13" t="n"/>
      <c r="L373" s="10" t="n"/>
      <c r="M373" s="10" t="n"/>
      <c r="N373" s="14">
        <f>IF(A373="","",WEEKNUM(A373,2))</f>
        <v/>
      </c>
      <c r="O373" s="15">
        <f>IF(OR(A373="",F373=""),"",LOOKUP(F373,Lists!$F$2:$F$5,Lists!$G$2:$G$5))</f>
        <v/>
      </c>
      <c r="P373" s="16">
        <f>IF(A373="","",SUM(H373:K373))</f>
        <v/>
      </c>
      <c r="Q373" s="17">
        <f>IF(A373="","",IFERROR(P373/G373,""))</f>
        <v/>
      </c>
      <c r="R373" s="14">
        <f>IF(OR(A373="",G373=""),"",COUNTIFS($N$2:$N$1000,"&gt;0",$G$2:$G$1000,"&gt;"&amp;G373)+COUNTIFS($N$2:N373,"&gt;0",$G$2:G373,G373))</f>
        <v/>
      </c>
    </row>
    <row r="374">
      <c r="A374" s="9" t="n"/>
      <c r="B374" s="10" t="n"/>
      <c r="C374" s="10" t="n"/>
      <c r="D374" s="10" t="n"/>
      <c r="E374" s="10" t="n"/>
      <c r="F374" s="12" t="n"/>
      <c r="G374" s="13" t="n"/>
      <c r="H374" s="13" t="n"/>
      <c r="I374" s="13" t="n"/>
      <c r="J374" s="13" t="n"/>
      <c r="K374" s="13" t="n"/>
      <c r="L374" s="10" t="n"/>
      <c r="M374" s="10" t="n"/>
      <c r="N374" s="14">
        <f>IF(A374="","",WEEKNUM(A374,2))</f>
        <v/>
      </c>
      <c r="O374" s="15">
        <f>IF(OR(A374="",F374=""),"",LOOKUP(F374,Lists!$F$2:$F$5,Lists!$G$2:$G$5))</f>
        <v/>
      </c>
      <c r="P374" s="16">
        <f>IF(A374="","",SUM(H374:K374))</f>
        <v/>
      </c>
      <c r="Q374" s="17">
        <f>IF(A374="","",IFERROR(P374/G374,""))</f>
        <v/>
      </c>
      <c r="R374" s="14">
        <f>IF(OR(A374="",G374=""),"",COUNTIFS($N$2:$N$1000,"&gt;0",$G$2:$G$1000,"&gt;"&amp;G374)+COUNTIFS($N$2:N374,"&gt;0",$G$2:G374,G374))</f>
        <v/>
      </c>
    </row>
    <row r="375">
      <c r="A375" s="9" t="n"/>
      <c r="B375" s="10" t="n"/>
      <c r="C375" s="10" t="n"/>
      <c r="D375" s="10" t="n"/>
      <c r="E375" s="10" t="n"/>
      <c r="F375" s="12" t="n"/>
      <c r="G375" s="13" t="n"/>
      <c r="H375" s="13" t="n"/>
      <c r="I375" s="13" t="n"/>
      <c r="J375" s="13" t="n"/>
      <c r="K375" s="13" t="n"/>
      <c r="L375" s="10" t="n"/>
      <c r="M375" s="10" t="n"/>
      <c r="N375" s="14">
        <f>IF(A375="","",WEEKNUM(A375,2))</f>
        <v/>
      </c>
      <c r="O375" s="15">
        <f>IF(OR(A375="",F375=""),"",LOOKUP(F375,Lists!$F$2:$F$5,Lists!$G$2:$G$5))</f>
        <v/>
      </c>
      <c r="P375" s="16">
        <f>IF(A375="","",SUM(H375:K375))</f>
        <v/>
      </c>
      <c r="Q375" s="17">
        <f>IF(A375="","",IFERROR(P375/G375,""))</f>
        <v/>
      </c>
      <c r="R375" s="14">
        <f>IF(OR(A375="",G375=""),"",COUNTIFS($N$2:$N$1000,"&gt;0",$G$2:$G$1000,"&gt;"&amp;G375)+COUNTIFS($N$2:N375,"&gt;0",$G$2:G375,G375))</f>
        <v/>
      </c>
    </row>
    <row r="376">
      <c r="A376" s="9" t="n"/>
      <c r="B376" s="10" t="n"/>
      <c r="C376" s="10" t="n"/>
      <c r="D376" s="10" t="n"/>
      <c r="E376" s="10" t="n"/>
      <c r="F376" s="12" t="n"/>
      <c r="G376" s="13" t="n"/>
      <c r="H376" s="13" t="n"/>
      <c r="I376" s="13" t="n"/>
      <c r="J376" s="13" t="n"/>
      <c r="K376" s="13" t="n"/>
      <c r="L376" s="10" t="n"/>
      <c r="M376" s="10" t="n"/>
      <c r="N376" s="14">
        <f>IF(A376="","",WEEKNUM(A376,2))</f>
        <v/>
      </c>
      <c r="O376" s="15">
        <f>IF(OR(A376="",F376=""),"",LOOKUP(F376,Lists!$F$2:$F$5,Lists!$G$2:$G$5))</f>
        <v/>
      </c>
      <c r="P376" s="16">
        <f>IF(A376="","",SUM(H376:K376))</f>
        <v/>
      </c>
      <c r="Q376" s="17">
        <f>IF(A376="","",IFERROR(P376/G376,""))</f>
        <v/>
      </c>
      <c r="R376" s="14">
        <f>IF(OR(A376="",G376=""),"",COUNTIFS($N$2:$N$1000,"&gt;0",$G$2:$G$1000,"&gt;"&amp;G376)+COUNTIFS($N$2:N376,"&gt;0",$G$2:G376,G376))</f>
        <v/>
      </c>
    </row>
    <row r="377">
      <c r="A377" s="9" t="n"/>
      <c r="B377" s="10" t="n"/>
      <c r="C377" s="10" t="n"/>
      <c r="D377" s="10" t="n"/>
      <c r="E377" s="10" t="n"/>
      <c r="F377" s="12" t="n"/>
      <c r="G377" s="13" t="n"/>
      <c r="H377" s="13" t="n"/>
      <c r="I377" s="13" t="n"/>
      <c r="J377" s="13" t="n"/>
      <c r="K377" s="13" t="n"/>
      <c r="L377" s="10" t="n"/>
      <c r="M377" s="10" t="n"/>
      <c r="N377" s="14">
        <f>IF(A377="","",WEEKNUM(A377,2))</f>
        <v/>
      </c>
      <c r="O377" s="15">
        <f>IF(OR(A377="",F377=""),"",LOOKUP(F377,Lists!$F$2:$F$5,Lists!$G$2:$G$5))</f>
        <v/>
      </c>
      <c r="P377" s="16">
        <f>IF(A377="","",SUM(H377:K377))</f>
        <v/>
      </c>
      <c r="Q377" s="17">
        <f>IF(A377="","",IFERROR(P377/G377,""))</f>
        <v/>
      </c>
      <c r="R377" s="14">
        <f>IF(OR(A377="",G377=""),"",COUNTIFS($N$2:$N$1000,"&gt;0",$G$2:$G$1000,"&gt;"&amp;G377)+COUNTIFS($N$2:N377,"&gt;0",$G$2:G377,G377))</f>
        <v/>
      </c>
    </row>
    <row r="378">
      <c r="A378" s="9" t="n"/>
      <c r="B378" s="10" t="n"/>
      <c r="C378" s="10" t="n"/>
      <c r="D378" s="10" t="n"/>
      <c r="E378" s="10" t="n"/>
      <c r="F378" s="12" t="n"/>
      <c r="G378" s="13" t="n"/>
      <c r="H378" s="13" t="n"/>
      <c r="I378" s="13" t="n"/>
      <c r="J378" s="13" t="n"/>
      <c r="K378" s="13" t="n"/>
      <c r="L378" s="10" t="n"/>
      <c r="M378" s="10" t="n"/>
      <c r="N378" s="14">
        <f>IF(A378="","",WEEKNUM(A378,2))</f>
        <v/>
      </c>
      <c r="O378" s="15">
        <f>IF(OR(A378="",F378=""),"",LOOKUP(F378,Lists!$F$2:$F$5,Lists!$G$2:$G$5))</f>
        <v/>
      </c>
      <c r="P378" s="16">
        <f>IF(A378="","",SUM(H378:K378))</f>
        <v/>
      </c>
      <c r="Q378" s="17">
        <f>IF(A378="","",IFERROR(P378/G378,""))</f>
        <v/>
      </c>
      <c r="R378" s="14">
        <f>IF(OR(A378="",G378=""),"",COUNTIFS($N$2:$N$1000,"&gt;0",$G$2:$G$1000,"&gt;"&amp;G378)+COUNTIFS($N$2:N378,"&gt;0",$G$2:G378,G378))</f>
        <v/>
      </c>
    </row>
    <row r="379">
      <c r="A379" s="9" t="n"/>
      <c r="B379" s="10" t="n"/>
      <c r="C379" s="10" t="n"/>
      <c r="D379" s="10" t="n"/>
      <c r="E379" s="10" t="n"/>
      <c r="F379" s="12" t="n"/>
      <c r="G379" s="13" t="n"/>
      <c r="H379" s="13" t="n"/>
      <c r="I379" s="13" t="n"/>
      <c r="J379" s="13" t="n"/>
      <c r="K379" s="13" t="n"/>
      <c r="L379" s="10" t="n"/>
      <c r="M379" s="10" t="n"/>
      <c r="N379" s="14">
        <f>IF(A379="","",WEEKNUM(A379,2))</f>
        <v/>
      </c>
      <c r="O379" s="15">
        <f>IF(OR(A379="",F379=""),"",LOOKUP(F379,Lists!$F$2:$F$5,Lists!$G$2:$G$5))</f>
        <v/>
      </c>
      <c r="P379" s="16">
        <f>IF(A379="","",SUM(H379:K379))</f>
        <v/>
      </c>
      <c r="Q379" s="17">
        <f>IF(A379="","",IFERROR(P379/G379,""))</f>
        <v/>
      </c>
      <c r="R379" s="14">
        <f>IF(OR(A379="",G379=""),"",COUNTIFS($N$2:$N$1000,"&gt;0",$G$2:$G$1000,"&gt;"&amp;G379)+COUNTIFS($N$2:N379,"&gt;0",$G$2:G379,G379))</f>
        <v/>
      </c>
    </row>
    <row r="380">
      <c r="A380" s="9" t="n"/>
      <c r="B380" s="10" t="n"/>
      <c r="C380" s="10" t="n"/>
      <c r="D380" s="10" t="n"/>
      <c r="E380" s="10" t="n"/>
      <c r="F380" s="12" t="n"/>
      <c r="G380" s="13" t="n"/>
      <c r="H380" s="13" t="n"/>
      <c r="I380" s="13" t="n"/>
      <c r="J380" s="13" t="n"/>
      <c r="K380" s="13" t="n"/>
      <c r="L380" s="10" t="n"/>
      <c r="M380" s="10" t="n"/>
      <c r="N380" s="14">
        <f>IF(A380="","",WEEKNUM(A380,2))</f>
        <v/>
      </c>
      <c r="O380" s="15">
        <f>IF(OR(A380="",F380=""),"",LOOKUP(F380,Lists!$F$2:$F$5,Lists!$G$2:$G$5))</f>
        <v/>
      </c>
      <c r="P380" s="16">
        <f>IF(A380="","",SUM(H380:K380))</f>
        <v/>
      </c>
      <c r="Q380" s="17">
        <f>IF(A380="","",IFERROR(P380/G380,""))</f>
        <v/>
      </c>
      <c r="R380" s="14">
        <f>IF(OR(A380="",G380=""),"",COUNTIFS($N$2:$N$1000,"&gt;0",$G$2:$G$1000,"&gt;"&amp;G380)+COUNTIFS($N$2:N380,"&gt;0",$G$2:G380,G380))</f>
        <v/>
      </c>
    </row>
    <row r="381">
      <c r="A381" s="9" t="n"/>
      <c r="B381" s="10" t="n"/>
      <c r="C381" s="10" t="n"/>
      <c r="D381" s="10" t="n"/>
      <c r="E381" s="10" t="n"/>
      <c r="F381" s="12" t="n"/>
      <c r="G381" s="13" t="n"/>
      <c r="H381" s="13" t="n"/>
      <c r="I381" s="13" t="n"/>
      <c r="J381" s="13" t="n"/>
      <c r="K381" s="13" t="n"/>
      <c r="L381" s="10" t="n"/>
      <c r="M381" s="10" t="n"/>
      <c r="N381" s="14">
        <f>IF(A381="","",WEEKNUM(A381,2))</f>
        <v/>
      </c>
      <c r="O381" s="15">
        <f>IF(OR(A381="",F381=""),"",LOOKUP(F381,Lists!$F$2:$F$5,Lists!$G$2:$G$5))</f>
        <v/>
      </c>
      <c r="P381" s="16">
        <f>IF(A381="","",SUM(H381:K381))</f>
        <v/>
      </c>
      <c r="Q381" s="17">
        <f>IF(A381="","",IFERROR(P381/G381,""))</f>
        <v/>
      </c>
      <c r="R381" s="14">
        <f>IF(OR(A381="",G381=""),"",COUNTIFS($N$2:$N$1000,"&gt;0",$G$2:$G$1000,"&gt;"&amp;G381)+COUNTIFS($N$2:N381,"&gt;0",$G$2:G381,G381))</f>
        <v/>
      </c>
    </row>
    <row r="382">
      <c r="A382" s="9" t="n"/>
      <c r="B382" s="10" t="n"/>
      <c r="C382" s="10" t="n"/>
      <c r="D382" s="10" t="n"/>
      <c r="E382" s="10" t="n"/>
      <c r="F382" s="12" t="n"/>
      <c r="G382" s="13" t="n"/>
      <c r="H382" s="13" t="n"/>
      <c r="I382" s="13" t="n"/>
      <c r="J382" s="13" t="n"/>
      <c r="K382" s="13" t="n"/>
      <c r="L382" s="10" t="n"/>
      <c r="M382" s="10" t="n"/>
      <c r="N382" s="14">
        <f>IF(A382="","",WEEKNUM(A382,2))</f>
        <v/>
      </c>
      <c r="O382" s="15">
        <f>IF(OR(A382="",F382=""),"",LOOKUP(F382,Lists!$F$2:$F$5,Lists!$G$2:$G$5))</f>
        <v/>
      </c>
      <c r="P382" s="16">
        <f>IF(A382="","",SUM(H382:K382))</f>
        <v/>
      </c>
      <c r="Q382" s="17">
        <f>IF(A382="","",IFERROR(P382/G382,""))</f>
        <v/>
      </c>
      <c r="R382" s="14">
        <f>IF(OR(A382="",G382=""),"",COUNTIFS($N$2:$N$1000,"&gt;0",$G$2:$G$1000,"&gt;"&amp;G382)+COUNTIFS($N$2:N382,"&gt;0",$G$2:G382,G382))</f>
        <v/>
      </c>
    </row>
    <row r="383">
      <c r="A383" s="9" t="n"/>
      <c r="B383" s="10" t="n"/>
      <c r="C383" s="10" t="n"/>
      <c r="D383" s="10" t="n"/>
      <c r="E383" s="10" t="n"/>
      <c r="F383" s="12" t="n"/>
      <c r="G383" s="13" t="n"/>
      <c r="H383" s="13" t="n"/>
      <c r="I383" s="13" t="n"/>
      <c r="J383" s="13" t="n"/>
      <c r="K383" s="13" t="n"/>
      <c r="L383" s="10" t="n"/>
      <c r="M383" s="10" t="n"/>
      <c r="N383" s="14">
        <f>IF(A383="","",WEEKNUM(A383,2))</f>
        <v/>
      </c>
      <c r="O383" s="15">
        <f>IF(OR(A383="",F383=""),"",LOOKUP(F383,Lists!$F$2:$F$5,Lists!$G$2:$G$5))</f>
        <v/>
      </c>
      <c r="P383" s="16">
        <f>IF(A383="","",SUM(H383:K383))</f>
        <v/>
      </c>
      <c r="Q383" s="17">
        <f>IF(A383="","",IFERROR(P383/G383,""))</f>
        <v/>
      </c>
      <c r="R383" s="14">
        <f>IF(OR(A383="",G383=""),"",COUNTIFS($N$2:$N$1000,"&gt;0",$G$2:$G$1000,"&gt;"&amp;G383)+COUNTIFS($N$2:N383,"&gt;0",$G$2:G383,G383))</f>
        <v/>
      </c>
    </row>
    <row r="384">
      <c r="A384" s="9" t="n"/>
      <c r="B384" s="10" t="n"/>
      <c r="C384" s="10" t="n"/>
      <c r="D384" s="10" t="n"/>
      <c r="E384" s="10" t="n"/>
      <c r="F384" s="12" t="n"/>
      <c r="G384" s="13" t="n"/>
      <c r="H384" s="13" t="n"/>
      <c r="I384" s="13" t="n"/>
      <c r="J384" s="13" t="n"/>
      <c r="K384" s="13" t="n"/>
      <c r="L384" s="10" t="n"/>
      <c r="M384" s="10" t="n"/>
      <c r="N384" s="14">
        <f>IF(A384="","",WEEKNUM(A384,2))</f>
        <v/>
      </c>
      <c r="O384" s="15">
        <f>IF(OR(A384="",F384=""),"",LOOKUP(F384,Lists!$F$2:$F$5,Lists!$G$2:$G$5))</f>
        <v/>
      </c>
      <c r="P384" s="16">
        <f>IF(A384="","",SUM(H384:K384))</f>
        <v/>
      </c>
      <c r="Q384" s="17">
        <f>IF(A384="","",IFERROR(P384/G384,""))</f>
        <v/>
      </c>
      <c r="R384" s="14">
        <f>IF(OR(A384="",G384=""),"",COUNTIFS($N$2:$N$1000,"&gt;0",$G$2:$G$1000,"&gt;"&amp;G384)+COUNTIFS($N$2:N384,"&gt;0",$G$2:G384,G384))</f>
        <v/>
      </c>
    </row>
    <row r="385">
      <c r="A385" s="9" t="n"/>
      <c r="B385" s="10" t="n"/>
      <c r="C385" s="10" t="n"/>
      <c r="D385" s="10" t="n"/>
      <c r="E385" s="10" t="n"/>
      <c r="F385" s="12" t="n"/>
      <c r="G385" s="13" t="n"/>
      <c r="H385" s="13" t="n"/>
      <c r="I385" s="13" t="n"/>
      <c r="J385" s="13" t="n"/>
      <c r="K385" s="13" t="n"/>
      <c r="L385" s="10" t="n"/>
      <c r="M385" s="10" t="n"/>
      <c r="N385" s="14">
        <f>IF(A385="","",WEEKNUM(A385,2))</f>
        <v/>
      </c>
      <c r="O385" s="15">
        <f>IF(OR(A385="",F385=""),"",LOOKUP(F385,Lists!$F$2:$F$5,Lists!$G$2:$G$5))</f>
        <v/>
      </c>
      <c r="P385" s="16">
        <f>IF(A385="","",SUM(H385:K385))</f>
        <v/>
      </c>
      <c r="Q385" s="17">
        <f>IF(A385="","",IFERROR(P385/G385,""))</f>
        <v/>
      </c>
      <c r="R385" s="14">
        <f>IF(OR(A385="",G385=""),"",COUNTIFS($N$2:$N$1000,"&gt;0",$G$2:$G$1000,"&gt;"&amp;G385)+COUNTIFS($N$2:N385,"&gt;0",$G$2:G385,G385))</f>
        <v/>
      </c>
    </row>
    <row r="386">
      <c r="A386" s="9" t="n"/>
      <c r="B386" s="10" t="n"/>
      <c r="C386" s="10" t="n"/>
      <c r="D386" s="10" t="n"/>
      <c r="E386" s="10" t="n"/>
      <c r="F386" s="12" t="n"/>
      <c r="G386" s="13" t="n"/>
      <c r="H386" s="13" t="n"/>
      <c r="I386" s="13" t="n"/>
      <c r="J386" s="13" t="n"/>
      <c r="K386" s="13" t="n"/>
      <c r="L386" s="10" t="n"/>
      <c r="M386" s="10" t="n"/>
      <c r="N386" s="14">
        <f>IF(A386="","",WEEKNUM(A386,2))</f>
        <v/>
      </c>
      <c r="O386" s="15">
        <f>IF(OR(A386="",F386=""),"",LOOKUP(F386,Lists!$F$2:$F$5,Lists!$G$2:$G$5))</f>
        <v/>
      </c>
      <c r="P386" s="16">
        <f>IF(A386="","",SUM(H386:K386))</f>
        <v/>
      </c>
      <c r="Q386" s="17">
        <f>IF(A386="","",IFERROR(P386/G386,""))</f>
        <v/>
      </c>
      <c r="R386" s="14">
        <f>IF(OR(A386="",G386=""),"",COUNTIFS($N$2:$N$1000,"&gt;0",$G$2:$G$1000,"&gt;"&amp;G386)+COUNTIFS($N$2:N386,"&gt;0",$G$2:G386,G386))</f>
        <v/>
      </c>
    </row>
    <row r="387">
      <c r="A387" s="9" t="n"/>
      <c r="B387" s="10" t="n"/>
      <c r="C387" s="10" t="n"/>
      <c r="D387" s="10" t="n"/>
      <c r="E387" s="10" t="n"/>
      <c r="F387" s="12" t="n"/>
      <c r="G387" s="13" t="n"/>
      <c r="H387" s="13" t="n"/>
      <c r="I387" s="13" t="n"/>
      <c r="J387" s="13" t="n"/>
      <c r="K387" s="13" t="n"/>
      <c r="L387" s="10" t="n"/>
      <c r="M387" s="10" t="n"/>
      <c r="N387" s="14">
        <f>IF(A387="","",WEEKNUM(A387,2))</f>
        <v/>
      </c>
      <c r="O387" s="15">
        <f>IF(OR(A387="",F387=""),"",LOOKUP(F387,Lists!$F$2:$F$5,Lists!$G$2:$G$5))</f>
        <v/>
      </c>
      <c r="P387" s="16">
        <f>IF(A387="","",SUM(H387:K387))</f>
        <v/>
      </c>
      <c r="Q387" s="17">
        <f>IF(A387="","",IFERROR(P387/G387,""))</f>
        <v/>
      </c>
      <c r="R387" s="14">
        <f>IF(OR(A387="",G387=""),"",COUNTIFS($N$2:$N$1000,"&gt;0",$G$2:$G$1000,"&gt;"&amp;G387)+COUNTIFS($N$2:N387,"&gt;0",$G$2:G387,G387))</f>
        <v/>
      </c>
    </row>
    <row r="388">
      <c r="A388" s="9" t="n"/>
      <c r="B388" s="10" t="n"/>
      <c r="C388" s="10" t="n"/>
      <c r="D388" s="10" t="n"/>
      <c r="E388" s="10" t="n"/>
      <c r="F388" s="12" t="n"/>
      <c r="G388" s="13" t="n"/>
      <c r="H388" s="13" t="n"/>
      <c r="I388" s="13" t="n"/>
      <c r="J388" s="13" t="n"/>
      <c r="K388" s="13" t="n"/>
      <c r="L388" s="10" t="n"/>
      <c r="M388" s="10" t="n"/>
      <c r="N388" s="14">
        <f>IF(A388="","",WEEKNUM(A388,2))</f>
        <v/>
      </c>
      <c r="O388" s="15">
        <f>IF(OR(A388="",F388=""),"",LOOKUP(F388,Lists!$F$2:$F$5,Lists!$G$2:$G$5))</f>
        <v/>
      </c>
      <c r="P388" s="16">
        <f>IF(A388="","",SUM(H388:K388))</f>
        <v/>
      </c>
      <c r="Q388" s="17">
        <f>IF(A388="","",IFERROR(P388/G388,""))</f>
        <v/>
      </c>
      <c r="R388" s="14">
        <f>IF(OR(A388="",G388=""),"",COUNTIFS($N$2:$N$1000,"&gt;0",$G$2:$G$1000,"&gt;"&amp;G388)+COUNTIFS($N$2:N388,"&gt;0",$G$2:G388,G388))</f>
        <v/>
      </c>
    </row>
    <row r="389">
      <c r="A389" s="9" t="n"/>
      <c r="B389" s="10" t="n"/>
      <c r="C389" s="10" t="n"/>
      <c r="D389" s="10" t="n"/>
      <c r="E389" s="10" t="n"/>
      <c r="F389" s="12" t="n"/>
      <c r="G389" s="13" t="n"/>
      <c r="H389" s="13" t="n"/>
      <c r="I389" s="13" t="n"/>
      <c r="J389" s="13" t="n"/>
      <c r="K389" s="13" t="n"/>
      <c r="L389" s="10" t="n"/>
      <c r="M389" s="10" t="n"/>
      <c r="N389" s="14">
        <f>IF(A389="","",WEEKNUM(A389,2))</f>
        <v/>
      </c>
      <c r="O389" s="15">
        <f>IF(OR(A389="",F389=""),"",LOOKUP(F389,Lists!$F$2:$F$5,Lists!$G$2:$G$5))</f>
        <v/>
      </c>
      <c r="P389" s="16">
        <f>IF(A389="","",SUM(H389:K389))</f>
        <v/>
      </c>
      <c r="Q389" s="17">
        <f>IF(A389="","",IFERROR(P389/G389,""))</f>
        <v/>
      </c>
      <c r="R389" s="14">
        <f>IF(OR(A389="",G389=""),"",COUNTIFS($N$2:$N$1000,"&gt;0",$G$2:$G$1000,"&gt;"&amp;G389)+COUNTIFS($N$2:N389,"&gt;0",$G$2:G389,G389))</f>
        <v/>
      </c>
    </row>
    <row r="390">
      <c r="A390" s="9" t="n"/>
      <c r="B390" s="10" t="n"/>
      <c r="C390" s="10" t="n"/>
      <c r="D390" s="10" t="n"/>
      <c r="E390" s="10" t="n"/>
      <c r="F390" s="12" t="n"/>
      <c r="G390" s="13" t="n"/>
      <c r="H390" s="13" t="n"/>
      <c r="I390" s="13" t="n"/>
      <c r="J390" s="13" t="n"/>
      <c r="K390" s="13" t="n"/>
      <c r="L390" s="10" t="n"/>
      <c r="M390" s="10" t="n"/>
      <c r="N390" s="14">
        <f>IF(A390="","",WEEKNUM(A390,2))</f>
        <v/>
      </c>
      <c r="O390" s="15">
        <f>IF(OR(A390="",F390=""),"",LOOKUP(F390,Lists!$F$2:$F$5,Lists!$G$2:$G$5))</f>
        <v/>
      </c>
      <c r="P390" s="16">
        <f>IF(A390="","",SUM(H390:K390))</f>
        <v/>
      </c>
      <c r="Q390" s="17">
        <f>IF(A390="","",IFERROR(P390/G390,""))</f>
        <v/>
      </c>
      <c r="R390" s="14">
        <f>IF(OR(A390="",G390=""),"",COUNTIFS($N$2:$N$1000,"&gt;0",$G$2:$G$1000,"&gt;"&amp;G390)+COUNTIFS($N$2:N390,"&gt;0",$G$2:G390,G390))</f>
        <v/>
      </c>
    </row>
    <row r="391">
      <c r="A391" s="9" t="n"/>
      <c r="B391" s="10" t="n"/>
      <c r="C391" s="10" t="n"/>
      <c r="D391" s="10" t="n"/>
      <c r="E391" s="10" t="n"/>
      <c r="F391" s="12" t="n"/>
      <c r="G391" s="13" t="n"/>
      <c r="H391" s="13" t="n"/>
      <c r="I391" s="13" t="n"/>
      <c r="J391" s="13" t="n"/>
      <c r="K391" s="13" t="n"/>
      <c r="L391" s="10" t="n"/>
      <c r="M391" s="10" t="n"/>
      <c r="N391" s="14">
        <f>IF(A391="","",WEEKNUM(A391,2))</f>
        <v/>
      </c>
      <c r="O391" s="15">
        <f>IF(OR(A391="",F391=""),"",LOOKUP(F391,Lists!$F$2:$F$5,Lists!$G$2:$G$5))</f>
        <v/>
      </c>
      <c r="P391" s="16">
        <f>IF(A391="","",SUM(H391:K391))</f>
        <v/>
      </c>
      <c r="Q391" s="17">
        <f>IF(A391="","",IFERROR(P391/G391,""))</f>
        <v/>
      </c>
      <c r="R391" s="14">
        <f>IF(OR(A391="",G391=""),"",COUNTIFS($N$2:$N$1000,"&gt;0",$G$2:$G$1000,"&gt;"&amp;G391)+COUNTIFS($N$2:N391,"&gt;0",$G$2:G391,G391))</f>
        <v/>
      </c>
    </row>
    <row r="392">
      <c r="A392" s="9" t="n"/>
      <c r="B392" s="10" t="n"/>
      <c r="C392" s="10" t="n"/>
      <c r="D392" s="10" t="n"/>
      <c r="E392" s="10" t="n"/>
      <c r="F392" s="12" t="n"/>
      <c r="G392" s="13" t="n"/>
      <c r="H392" s="13" t="n"/>
      <c r="I392" s="13" t="n"/>
      <c r="J392" s="13" t="n"/>
      <c r="K392" s="13" t="n"/>
      <c r="L392" s="10" t="n"/>
      <c r="M392" s="10" t="n"/>
      <c r="N392" s="14">
        <f>IF(A392="","",WEEKNUM(A392,2))</f>
        <v/>
      </c>
      <c r="O392" s="15">
        <f>IF(OR(A392="",F392=""),"",LOOKUP(F392,Lists!$F$2:$F$5,Lists!$G$2:$G$5))</f>
        <v/>
      </c>
      <c r="P392" s="16">
        <f>IF(A392="","",SUM(H392:K392))</f>
        <v/>
      </c>
      <c r="Q392" s="17">
        <f>IF(A392="","",IFERROR(P392/G392,""))</f>
        <v/>
      </c>
      <c r="R392" s="14">
        <f>IF(OR(A392="",G392=""),"",COUNTIFS($N$2:$N$1000,"&gt;0",$G$2:$G$1000,"&gt;"&amp;G392)+COUNTIFS($N$2:N392,"&gt;0",$G$2:G392,G392))</f>
        <v/>
      </c>
    </row>
    <row r="393">
      <c r="A393" s="9" t="n"/>
      <c r="B393" s="10" t="n"/>
      <c r="C393" s="10" t="n"/>
      <c r="D393" s="10" t="n"/>
      <c r="E393" s="10" t="n"/>
      <c r="F393" s="12" t="n"/>
      <c r="G393" s="13" t="n"/>
      <c r="H393" s="13" t="n"/>
      <c r="I393" s="13" t="n"/>
      <c r="J393" s="13" t="n"/>
      <c r="K393" s="13" t="n"/>
      <c r="L393" s="10" t="n"/>
      <c r="M393" s="10" t="n"/>
      <c r="N393" s="14">
        <f>IF(A393="","",WEEKNUM(A393,2))</f>
        <v/>
      </c>
      <c r="O393" s="15">
        <f>IF(OR(A393="",F393=""),"",LOOKUP(F393,Lists!$F$2:$F$5,Lists!$G$2:$G$5))</f>
        <v/>
      </c>
      <c r="P393" s="16">
        <f>IF(A393="","",SUM(H393:K393))</f>
        <v/>
      </c>
      <c r="Q393" s="17">
        <f>IF(A393="","",IFERROR(P393/G393,""))</f>
        <v/>
      </c>
      <c r="R393" s="14">
        <f>IF(OR(A393="",G393=""),"",COUNTIFS($N$2:$N$1000,"&gt;0",$G$2:$G$1000,"&gt;"&amp;G393)+COUNTIFS($N$2:N393,"&gt;0",$G$2:G393,G393))</f>
        <v/>
      </c>
    </row>
    <row r="394">
      <c r="A394" s="9" t="n"/>
      <c r="B394" s="10" t="n"/>
      <c r="C394" s="10" t="n"/>
      <c r="D394" s="10" t="n"/>
      <c r="E394" s="10" t="n"/>
      <c r="F394" s="12" t="n"/>
      <c r="G394" s="13" t="n"/>
      <c r="H394" s="13" t="n"/>
      <c r="I394" s="13" t="n"/>
      <c r="J394" s="13" t="n"/>
      <c r="K394" s="13" t="n"/>
      <c r="L394" s="10" t="n"/>
      <c r="M394" s="10" t="n"/>
      <c r="N394" s="14">
        <f>IF(A394="","",WEEKNUM(A394,2))</f>
        <v/>
      </c>
      <c r="O394" s="15">
        <f>IF(OR(A394="",F394=""),"",LOOKUP(F394,Lists!$F$2:$F$5,Lists!$G$2:$G$5))</f>
        <v/>
      </c>
      <c r="P394" s="16">
        <f>IF(A394="","",SUM(H394:K394))</f>
        <v/>
      </c>
      <c r="Q394" s="17">
        <f>IF(A394="","",IFERROR(P394/G394,""))</f>
        <v/>
      </c>
      <c r="R394" s="14">
        <f>IF(OR(A394="",G394=""),"",COUNTIFS($N$2:$N$1000,"&gt;0",$G$2:$G$1000,"&gt;"&amp;G394)+COUNTIFS($N$2:N394,"&gt;0",$G$2:G394,G394))</f>
        <v/>
      </c>
    </row>
    <row r="395">
      <c r="A395" s="9" t="n"/>
      <c r="B395" s="10" t="n"/>
      <c r="C395" s="10" t="n"/>
      <c r="D395" s="10" t="n"/>
      <c r="E395" s="10" t="n"/>
      <c r="F395" s="12" t="n"/>
      <c r="G395" s="13" t="n"/>
      <c r="H395" s="13" t="n"/>
      <c r="I395" s="13" t="n"/>
      <c r="J395" s="13" t="n"/>
      <c r="K395" s="13" t="n"/>
      <c r="L395" s="10" t="n"/>
      <c r="M395" s="10" t="n"/>
      <c r="N395" s="14">
        <f>IF(A395="","",WEEKNUM(A395,2))</f>
        <v/>
      </c>
      <c r="O395" s="15">
        <f>IF(OR(A395="",F395=""),"",LOOKUP(F395,Lists!$F$2:$F$5,Lists!$G$2:$G$5))</f>
        <v/>
      </c>
      <c r="P395" s="16">
        <f>IF(A395="","",SUM(H395:K395))</f>
        <v/>
      </c>
      <c r="Q395" s="17">
        <f>IF(A395="","",IFERROR(P395/G395,""))</f>
        <v/>
      </c>
      <c r="R395" s="14">
        <f>IF(OR(A395="",G395=""),"",COUNTIFS($N$2:$N$1000,"&gt;0",$G$2:$G$1000,"&gt;"&amp;G395)+COUNTIFS($N$2:N395,"&gt;0",$G$2:G395,G395))</f>
        <v/>
      </c>
    </row>
    <row r="396">
      <c r="A396" s="9" t="n"/>
      <c r="B396" s="10" t="n"/>
      <c r="C396" s="10" t="n"/>
      <c r="D396" s="10" t="n"/>
      <c r="E396" s="10" t="n"/>
      <c r="F396" s="12" t="n"/>
      <c r="G396" s="13" t="n"/>
      <c r="H396" s="13" t="n"/>
      <c r="I396" s="13" t="n"/>
      <c r="J396" s="13" t="n"/>
      <c r="K396" s="13" t="n"/>
      <c r="L396" s="10" t="n"/>
      <c r="M396" s="10" t="n"/>
      <c r="N396" s="14">
        <f>IF(A396="","",WEEKNUM(A396,2))</f>
        <v/>
      </c>
      <c r="O396" s="15">
        <f>IF(OR(A396="",F396=""),"",LOOKUP(F396,Lists!$F$2:$F$5,Lists!$G$2:$G$5))</f>
        <v/>
      </c>
      <c r="P396" s="16">
        <f>IF(A396="","",SUM(H396:K396))</f>
        <v/>
      </c>
      <c r="Q396" s="17">
        <f>IF(A396="","",IFERROR(P396/G396,""))</f>
        <v/>
      </c>
      <c r="R396" s="14">
        <f>IF(OR(A396="",G396=""),"",COUNTIFS($N$2:$N$1000,"&gt;0",$G$2:$G$1000,"&gt;"&amp;G396)+COUNTIFS($N$2:N396,"&gt;0",$G$2:G396,G396))</f>
        <v/>
      </c>
    </row>
    <row r="397">
      <c r="A397" s="9" t="n"/>
      <c r="B397" s="10" t="n"/>
      <c r="C397" s="10" t="n"/>
      <c r="D397" s="10" t="n"/>
      <c r="E397" s="10" t="n"/>
      <c r="F397" s="12" t="n"/>
      <c r="G397" s="13" t="n"/>
      <c r="H397" s="13" t="n"/>
      <c r="I397" s="13" t="n"/>
      <c r="J397" s="13" t="n"/>
      <c r="K397" s="13" t="n"/>
      <c r="L397" s="10" t="n"/>
      <c r="M397" s="10" t="n"/>
      <c r="N397" s="14">
        <f>IF(A397="","",WEEKNUM(A397,2))</f>
        <v/>
      </c>
      <c r="O397" s="15">
        <f>IF(OR(A397="",F397=""),"",LOOKUP(F397,Lists!$F$2:$F$5,Lists!$G$2:$G$5))</f>
        <v/>
      </c>
      <c r="P397" s="16">
        <f>IF(A397="","",SUM(H397:K397))</f>
        <v/>
      </c>
      <c r="Q397" s="17">
        <f>IF(A397="","",IFERROR(P397/G397,""))</f>
        <v/>
      </c>
      <c r="R397" s="14">
        <f>IF(OR(A397="",G397=""),"",COUNTIFS($N$2:$N$1000,"&gt;0",$G$2:$G$1000,"&gt;"&amp;G397)+COUNTIFS($N$2:N397,"&gt;0",$G$2:G397,G397))</f>
        <v/>
      </c>
    </row>
    <row r="398">
      <c r="A398" s="9" t="n"/>
      <c r="B398" s="10" t="n"/>
      <c r="C398" s="10" t="n"/>
      <c r="D398" s="10" t="n"/>
      <c r="E398" s="10" t="n"/>
      <c r="F398" s="12" t="n"/>
      <c r="G398" s="13" t="n"/>
      <c r="H398" s="13" t="n"/>
      <c r="I398" s="13" t="n"/>
      <c r="J398" s="13" t="n"/>
      <c r="K398" s="13" t="n"/>
      <c r="L398" s="10" t="n"/>
      <c r="M398" s="10" t="n"/>
      <c r="N398" s="14">
        <f>IF(A398="","",WEEKNUM(A398,2))</f>
        <v/>
      </c>
      <c r="O398" s="15">
        <f>IF(OR(A398="",F398=""),"",LOOKUP(F398,Lists!$F$2:$F$5,Lists!$G$2:$G$5))</f>
        <v/>
      </c>
      <c r="P398" s="16">
        <f>IF(A398="","",SUM(H398:K398))</f>
        <v/>
      </c>
      <c r="Q398" s="17">
        <f>IF(A398="","",IFERROR(P398/G398,""))</f>
        <v/>
      </c>
      <c r="R398" s="14">
        <f>IF(OR(A398="",G398=""),"",COUNTIFS($N$2:$N$1000,"&gt;0",$G$2:$G$1000,"&gt;"&amp;G398)+COUNTIFS($N$2:N398,"&gt;0",$G$2:G398,G398))</f>
        <v/>
      </c>
    </row>
    <row r="399">
      <c r="A399" s="9" t="n"/>
      <c r="B399" s="10" t="n"/>
      <c r="C399" s="10" t="n"/>
      <c r="D399" s="10" t="n"/>
      <c r="E399" s="10" t="n"/>
      <c r="F399" s="12" t="n"/>
      <c r="G399" s="13" t="n"/>
      <c r="H399" s="13" t="n"/>
      <c r="I399" s="13" t="n"/>
      <c r="J399" s="13" t="n"/>
      <c r="K399" s="13" t="n"/>
      <c r="L399" s="10" t="n"/>
      <c r="M399" s="10" t="n"/>
      <c r="N399" s="14">
        <f>IF(A399="","",WEEKNUM(A399,2))</f>
        <v/>
      </c>
      <c r="O399" s="15">
        <f>IF(OR(A399="",F399=""),"",LOOKUP(F399,Lists!$F$2:$F$5,Lists!$G$2:$G$5))</f>
        <v/>
      </c>
      <c r="P399" s="16">
        <f>IF(A399="","",SUM(H399:K399))</f>
        <v/>
      </c>
      <c r="Q399" s="17">
        <f>IF(A399="","",IFERROR(P399/G399,""))</f>
        <v/>
      </c>
      <c r="R399" s="14">
        <f>IF(OR(A399="",G399=""),"",COUNTIFS($N$2:$N$1000,"&gt;0",$G$2:$G$1000,"&gt;"&amp;G399)+COUNTIFS($N$2:N399,"&gt;0",$G$2:G399,G399))</f>
        <v/>
      </c>
    </row>
    <row r="400">
      <c r="A400" s="9" t="n"/>
      <c r="B400" s="10" t="n"/>
      <c r="C400" s="10" t="n"/>
      <c r="D400" s="10" t="n"/>
      <c r="E400" s="10" t="n"/>
      <c r="F400" s="12" t="n"/>
      <c r="G400" s="13" t="n"/>
      <c r="H400" s="13" t="n"/>
      <c r="I400" s="13" t="n"/>
      <c r="J400" s="13" t="n"/>
      <c r="K400" s="13" t="n"/>
      <c r="L400" s="10" t="n"/>
      <c r="M400" s="10" t="n"/>
      <c r="N400" s="14">
        <f>IF(A400="","",WEEKNUM(A400,2))</f>
        <v/>
      </c>
      <c r="O400" s="15">
        <f>IF(OR(A400="",F400=""),"",LOOKUP(F400,Lists!$F$2:$F$5,Lists!$G$2:$G$5))</f>
        <v/>
      </c>
      <c r="P400" s="16">
        <f>IF(A400="","",SUM(H400:K400))</f>
        <v/>
      </c>
      <c r="Q400" s="17">
        <f>IF(A400="","",IFERROR(P400/G400,""))</f>
        <v/>
      </c>
      <c r="R400" s="14">
        <f>IF(OR(A400="",G400=""),"",COUNTIFS($N$2:$N$1000,"&gt;0",$G$2:$G$1000,"&gt;"&amp;G400)+COUNTIFS($N$2:N400,"&gt;0",$G$2:G400,G400))</f>
        <v/>
      </c>
    </row>
    <row r="401">
      <c r="A401" s="9" t="n"/>
      <c r="B401" s="10" t="n"/>
      <c r="C401" s="10" t="n"/>
      <c r="D401" s="10" t="n"/>
      <c r="E401" s="10" t="n"/>
      <c r="F401" s="12" t="n"/>
      <c r="G401" s="13" t="n"/>
      <c r="H401" s="13" t="n"/>
      <c r="I401" s="13" t="n"/>
      <c r="J401" s="13" t="n"/>
      <c r="K401" s="13" t="n"/>
      <c r="L401" s="10" t="n"/>
      <c r="M401" s="10" t="n"/>
      <c r="N401" s="14">
        <f>IF(A401="","",WEEKNUM(A401,2))</f>
        <v/>
      </c>
      <c r="O401" s="15">
        <f>IF(OR(A401="",F401=""),"",LOOKUP(F401,Lists!$F$2:$F$5,Lists!$G$2:$G$5))</f>
        <v/>
      </c>
      <c r="P401" s="16">
        <f>IF(A401="","",SUM(H401:K401))</f>
        <v/>
      </c>
      <c r="Q401" s="17">
        <f>IF(A401="","",IFERROR(P401/G401,""))</f>
        <v/>
      </c>
      <c r="R401" s="14">
        <f>IF(OR(A401="",G401=""),"",COUNTIFS($N$2:$N$1000,"&gt;0",$G$2:$G$1000,"&gt;"&amp;G401)+COUNTIFS($N$2:N401,"&gt;0",$G$2:G401,G401))</f>
        <v/>
      </c>
    </row>
    <row r="402">
      <c r="A402" s="9" t="n"/>
      <c r="B402" s="10" t="n"/>
      <c r="C402" s="10" t="n"/>
      <c r="D402" s="10" t="n"/>
      <c r="E402" s="10" t="n"/>
      <c r="F402" s="12" t="n"/>
      <c r="G402" s="13" t="n"/>
      <c r="H402" s="13" t="n"/>
      <c r="I402" s="13" t="n"/>
      <c r="J402" s="13" t="n"/>
      <c r="K402" s="13" t="n"/>
      <c r="L402" s="10" t="n"/>
      <c r="M402" s="10" t="n"/>
      <c r="N402" s="14">
        <f>IF(A402="","",WEEKNUM(A402,2))</f>
        <v/>
      </c>
      <c r="O402" s="15">
        <f>IF(OR(A402="",F402=""),"",LOOKUP(F402,Lists!$F$2:$F$5,Lists!$G$2:$G$5))</f>
        <v/>
      </c>
      <c r="P402" s="16">
        <f>IF(A402="","",SUM(H402:K402))</f>
        <v/>
      </c>
      <c r="Q402" s="17">
        <f>IF(A402="","",IFERROR(P402/G402,""))</f>
        <v/>
      </c>
      <c r="R402" s="14">
        <f>IF(OR(A402="",G402=""),"",COUNTIFS($N$2:$N$1000,"&gt;0",$G$2:$G$1000,"&gt;"&amp;G402)+COUNTIFS($N$2:N402,"&gt;0",$G$2:G402,G402))</f>
        <v/>
      </c>
    </row>
    <row r="403">
      <c r="A403" s="9" t="n"/>
      <c r="B403" s="10" t="n"/>
      <c r="C403" s="10" t="n"/>
      <c r="D403" s="10" t="n"/>
      <c r="E403" s="10" t="n"/>
      <c r="F403" s="12" t="n"/>
      <c r="G403" s="13" t="n"/>
      <c r="H403" s="13" t="n"/>
      <c r="I403" s="13" t="n"/>
      <c r="J403" s="13" t="n"/>
      <c r="K403" s="13" t="n"/>
      <c r="L403" s="10" t="n"/>
      <c r="M403" s="10" t="n"/>
      <c r="N403" s="14">
        <f>IF(A403="","",WEEKNUM(A403,2))</f>
        <v/>
      </c>
      <c r="O403" s="15">
        <f>IF(OR(A403="",F403=""),"",LOOKUP(F403,Lists!$F$2:$F$5,Lists!$G$2:$G$5))</f>
        <v/>
      </c>
      <c r="P403" s="16">
        <f>IF(A403="","",SUM(H403:K403))</f>
        <v/>
      </c>
      <c r="Q403" s="17">
        <f>IF(A403="","",IFERROR(P403/G403,""))</f>
        <v/>
      </c>
      <c r="R403" s="14">
        <f>IF(OR(A403="",G403=""),"",COUNTIFS($N$2:$N$1000,"&gt;0",$G$2:$G$1000,"&gt;"&amp;G403)+COUNTIFS($N$2:N403,"&gt;0",$G$2:G403,G403))</f>
        <v/>
      </c>
    </row>
    <row r="404">
      <c r="A404" s="9" t="n"/>
      <c r="B404" s="10" t="n"/>
      <c r="C404" s="10" t="n"/>
      <c r="D404" s="10" t="n"/>
      <c r="E404" s="10" t="n"/>
      <c r="F404" s="12" t="n"/>
      <c r="G404" s="13" t="n"/>
      <c r="H404" s="13" t="n"/>
      <c r="I404" s="13" t="n"/>
      <c r="J404" s="13" t="n"/>
      <c r="K404" s="13" t="n"/>
      <c r="L404" s="10" t="n"/>
      <c r="M404" s="10" t="n"/>
      <c r="N404" s="14">
        <f>IF(A404="","",WEEKNUM(A404,2))</f>
        <v/>
      </c>
      <c r="O404" s="15">
        <f>IF(OR(A404="",F404=""),"",LOOKUP(F404,Lists!$F$2:$F$5,Lists!$G$2:$G$5))</f>
        <v/>
      </c>
      <c r="P404" s="16">
        <f>IF(A404="","",SUM(H404:K404))</f>
        <v/>
      </c>
      <c r="Q404" s="17">
        <f>IF(A404="","",IFERROR(P404/G404,""))</f>
        <v/>
      </c>
      <c r="R404" s="14">
        <f>IF(OR(A404="",G404=""),"",COUNTIFS($N$2:$N$1000,"&gt;0",$G$2:$G$1000,"&gt;"&amp;G404)+COUNTIFS($N$2:N404,"&gt;0",$G$2:G404,G404))</f>
        <v/>
      </c>
    </row>
    <row r="405">
      <c r="A405" s="9" t="n"/>
      <c r="B405" s="10" t="n"/>
      <c r="C405" s="10" t="n"/>
      <c r="D405" s="10" t="n"/>
      <c r="E405" s="10" t="n"/>
      <c r="F405" s="12" t="n"/>
      <c r="G405" s="13" t="n"/>
      <c r="H405" s="13" t="n"/>
      <c r="I405" s="13" t="n"/>
      <c r="J405" s="13" t="n"/>
      <c r="K405" s="13" t="n"/>
      <c r="L405" s="10" t="n"/>
      <c r="M405" s="10" t="n"/>
      <c r="N405" s="14">
        <f>IF(A405="","",WEEKNUM(A405,2))</f>
        <v/>
      </c>
      <c r="O405" s="15">
        <f>IF(OR(A405="",F405=""),"",LOOKUP(F405,Lists!$F$2:$F$5,Lists!$G$2:$G$5))</f>
        <v/>
      </c>
      <c r="P405" s="16">
        <f>IF(A405="","",SUM(H405:K405))</f>
        <v/>
      </c>
      <c r="Q405" s="17">
        <f>IF(A405="","",IFERROR(P405/G405,""))</f>
        <v/>
      </c>
      <c r="R405" s="14">
        <f>IF(OR(A405="",G405=""),"",COUNTIFS($N$2:$N$1000,"&gt;0",$G$2:$G$1000,"&gt;"&amp;G405)+COUNTIFS($N$2:N405,"&gt;0",$G$2:G405,G405))</f>
        <v/>
      </c>
    </row>
    <row r="406">
      <c r="A406" s="9" t="n"/>
      <c r="B406" s="10" t="n"/>
      <c r="C406" s="10" t="n"/>
      <c r="D406" s="10" t="n"/>
      <c r="E406" s="10" t="n"/>
      <c r="F406" s="12" t="n"/>
      <c r="G406" s="13" t="n"/>
      <c r="H406" s="13" t="n"/>
      <c r="I406" s="13" t="n"/>
      <c r="J406" s="13" t="n"/>
      <c r="K406" s="13" t="n"/>
      <c r="L406" s="10" t="n"/>
      <c r="M406" s="10" t="n"/>
      <c r="N406" s="14">
        <f>IF(A406="","",WEEKNUM(A406,2))</f>
        <v/>
      </c>
      <c r="O406" s="15">
        <f>IF(OR(A406="",F406=""),"",LOOKUP(F406,Lists!$F$2:$F$5,Lists!$G$2:$G$5))</f>
        <v/>
      </c>
      <c r="P406" s="16">
        <f>IF(A406="","",SUM(H406:K406))</f>
        <v/>
      </c>
      <c r="Q406" s="17">
        <f>IF(A406="","",IFERROR(P406/G406,""))</f>
        <v/>
      </c>
      <c r="R406" s="14">
        <f>IF(OR(A406="",G406=""),"",COUNTIFS($N$2:$N$1000,"&gt;0",$G$2:$G$1000,"&gt;"&amp;G406)+COUNTIFS($N$2:N406,"&gt;0",$G$2:G406,G406))</f>
        <v/>
      </c>
    </row>
    <row r="407">
      <c r="A407" s="9" t="n"/>
      <c r="B407" s="10" t="n"/>
      <c r="C407" s="10" t="n"/>
      <c r="D407" s="10" t="n"/>
      <c r="E407" s="10" t="n"/>
      <c r="F407" s="12" t="n"/>
      <c r="G407" s="13" t="n"/>
      <c r="H407" s="13" t="n"/>
      <c r="I407" s="13" t="n"/>
      <c r="J407" s="13" t="n"/>
      <c r="K407" s="13" t="n"/>
      <c r="L407" s="10" t="n"/>
      <c r="M407" s="10" t="n"/>
      <c r="N407" s="14">
        <f>IF(A407="","",WEEKNUM(A407,2))</f>
        <v/>
      </c>
      <c r="O407" s="15">
        <f>IF(OR(A407="",F407=""),"",LOOKUP(F407,Lists!$F$2:$F$5,Lists!$G$2:$G$5))</f>
        <v/>
      </c>
      <c r="P407" s="16">
        <f>IF(A407="","",SUM(H407:K407))</f>
        <v/>
      </c>
      <c r="Q407" s="17">
        <f>IF(A407="","",IFERROR(P407/G407,""))</f>
        <v/>
      </c>
      <c r="R407" s="14">
        <f>IF(OR(A407="",G407=""),"",COUNTIFS($N$2:$N$1000,"&gt;0",$G$2:$G$1000,"&gt;"&amp;G407)+COUNTIFS($N$2:N407,"&gt;0",$G$2:G407,G407))</f>
        <v/>
      </c>
    </row>
    <row r="408">
      <c r="A408" s="9" t="n"/>
      <c r="B408" s="10" t="n"/>
      <c r="C408" s="10" t="n"/>
      <c r="D408" s="10" t="n"/>
      <c r="E408" s="10" t="n"/>
      <c r="F408" s="12" t="n"/>
      <c r="G408" s="13" t="n"/>
      <c r="H408" s="13" t="n"/>
      <c r="I408" s="13" t="n"/>
      <c r="J408" s="13" t="n"/>
      <c r="K408" s="13" t="n"/>
      <c r="L408" s="10" t="n"/>
      <c r="M408" s="10" t="n"/>
      <c r="N408" s="14">
        <f>IF(A408="","",WEEKNUM(A408,2))</f>
        <v/>
      </c>
      <c r="O408" s="15">
        <f>IF(OR(A408="",F408=""),"",LOOKUP(F408,Lists!$F$2:$F$5,Lists!$G$2:$G$5))</f>
        <v/>
      </c>
      <c r="P408" s="16">
        <f>IF(A408="","",SUM(H408:K408))</f>
        <v/>
      </c>
      <c r="Q408" s="17">
        <f>IF(A408="","",IFERROR(P408/G408,""))</f>
        <v/>
      </c>
      <c r="R408" s="14">
        <f>IF(OR(A408="",G408=""),"",COUNTIFS($N$2:$N$1000,"&gt;0",$G$2:$G$1000,"&gt;"&amp;G408)+COUNTIFS($N$2:N408,"&gt;0",$G$2:G408,G408))</f>
        <v/>
      </c>
    </row>
    <row r="409">
      <c r="A409" s="9" t="n"/>
      <c r="B409" s="10" t="n"/>
      <c r="C409" s="10" t="n"/>
      <c r="D409" s="10" t="n"/>
      <c r="E409" s="10" t="n"/>
      <c r="F409" s="12" t="n"/>
      <c r="G409" s="13" t="n"/>
      <c r="H409" s="13" t="n"/>
      <c r="I409" s="13" t="n"/>
      <c r="J409" s="13" t="n"/>
      <c r="K409" s="13" t="n"/>
      <c r="L409" s="10" t="n"/>
      <c r="M409" s="10" t="n"/>
      <c r="N409" s="14">
        <f>IF(A409="","",WEEKNUM(A409,2))</f>
        <v/>
      </c>
      <c r="O409" s="15">
        <f>IF(OR(A409="",F409=""),"",LOOKUP(F409,Lists!$F$2:$F$5,Lists!$G$2:$G$5))</f>
        <v/>
      </c>
      <c r="P409" s="16">
        <f>IF(A409="","",SUM(H409:K409))</f>
        <v/>
      </c>
      <c r="Q409" s="17">
        <f>IF(A409="","",IFERROR(P409/G409,""))</f>
        <v/>
      </c>
      <c r="R409" s="14">
        <f>IF(OR(A409="",G409=""),"",COUNTIFS($N$2:$N$1000,"&gt;0",$G$2:$G$1000,"&gt;"&amp;G409)+COUNTIFS($N$2:N409,"&gt;0",$G$2:G409,G409))</f>
        <v/>
      </c>
    </row>
    <row r="410">
      <c r="A410" s="9" t="n"/>
      <c r="B410" s="10" t="n"/>
      <c r="C410" s="10" t="n"/>
      <c r="D410" s="10" t="n"/>
      <c r="E410" s="10" t="n"/>
      <c r="F410" s="12" t="n"/>
      <c r="G410" s="13" t="n"/>
      <c r="H410" s="13" t="n"/>
      <c r="I410" s="13" t="n"/>
      <c r="J410" s="13" t="n"/>
      <c r="K410" s="13" t="n"/>
      <c r="L410" s="10" t="n"/>
      <c r="M410" s="10" t="n"/>
      <c r="N410" s="14">
        <f>IF(A410="","",WEEKNUM(A410,2))</f>
        <v/>
      </c>
      <c r="O410" s="15">
        <f>IF(OR(A410="",F410=""),"",LOOKUP(F410,Lists!$F$2:$F$5,Lists!$G$2:$G$5))</f>
        <v/>
      </c>
      <c r="P410" s="16">
        <f>IF(A410="","",SUM(H410:K410))</f>
        <v/>
      </c>
      <c r="Q410" s="17">
        <f>IF(A410="","",IFERROR(P410/G410,""))</f>
        <v/>
      </c>
      <c r="R410" s="14">
        <f>IF(OR(A410="",G410=""),"",COUNTIFS($N$2:$N$1000,"&gt;0",$G$2:$G$1000,"&gt;"&amp;G410)+COUNTIFS($N$2:N410,"&gt;0",$G$2:G410,G410))</f>
        <v/>
      </c>
    </row>
    <row r="411">
      <c r="A411" s="9" t="n"/>
      <c r="B411" s="10" t="n"/>
      <c r="C411" s="10" t="n"/>
      <c r="D411" s="10" t="n"/>
      <c r="E411" s="10" t="n"/>
      <c r="F411" s="12" t="n"/>
      <c r="G411" s="13" t="n"/>
      <c r="H411" s="13" t="n"/>
      <c r="I411" s="13" t="n"/>
      <c r="J411" s="13" t="n"/>
      <c r="K411" s="13" t="n"/>
      <c r="L411" s="10" t="n"/>
      <c r="M411" s="10" t="n"/>
      <c r="N411" s="14">
        <f>IF(A411="","",WEEKNUM(A411,2))</f>
        <v/>
      </c>
      <c r="O411" s="15">
        <f>IF(OR(A411="",F411=""),"",LOOKUP(F411,Lists!$F$2:$F$5,Lists!$G$2:$G$5))</f>
        <v/>
      </c>
      <c r="P411" s="16">
        <f>IF(A411="","",SUM(H411:K411))</f>
        <v/>
      </c>
      <c r="Q411" s="17">
        <f>IF(A411="","",IFERROR(P411/G411,""))</f>
        <v/>
      </c>
      <c r="R411" s="14">
        <f>IF(OR(A411="",G411=""),"",COUNTIFS($N$2:$N$1000,"&gt;0",$G$2:$G$1000,"&gt;"&amp;G411)+COUNTIFS($N$2:N411,"&gt;0",$G$2:G411,G411))</f>
        <v/>
      </c>
    </row>
    <row r="412">
      <c r="A412" s="9" t="n"/>
      <c r="B412" s="10" t="n"/>
      <c r="C412" s="10" t="n"/>
      <c r="D412" s="10" t="n"/>
      <c r="E412" s="10" t="n"/>
      <c r="F412" s="12" t="n"/>
      <c r="G412" s="13" t="n"/>
      <c r="H412" s="13" t="n"/>
      <c r="I412" s="13" t="n"/>
      <c r="J412" s="13" t="n"/>
      <c r="K412" s="13" t="n"/>
      <c r="L412" s="10" t="n"/>
      <c r="M412" s="10" t="n"/>
      <c r="N412" s="14">
        <f>IF(A412="","",WEEKNUM(A412,2))</f>
        <v/>
      </c>
      <c r="O412" s="15">
        <f>IF(OR(A412="",F412=""),"",LOOKUP(F412,Lists!$F$2:$F$5,Lists!$G$2:$G$5))</f>
        <v/>
      </c>
      <c r="P412" s="16">
        <f>IF(A412="","",SUM(H412:K412))</f>
        <v/>
      </c>
      <c r="Q412" s="17">
        <f>IF(A412="","",IFERROR(P412/G412,""))</f>
        <v/>
      </c>
      <c r="R412" s="14">
        <f>IF(OR(A412="",G412=""),"",COUNTIFS($N$2:$N$1000,"&gt;0",$G$2:$G$1000,"&gt;"&amp;G412)+COUNTIFS($N$2:N412,"&gt;0",$G$2:G412,G412))</f>
        <v/>
      </c>
    </row>
    <row r="413">
      <c r="A413" s="9" t="n"/>
      <c r="B413" s="10" t="n"/>
      <c r="C413" s="10" t="n"/>
      <c r="D413" s="10" t="n"/>
      <c r="E413" s="10" t="n"/>
      <c r="F413" s="12" t="n"/>
      <c r="G413" s="13" t="n"/>
      <c r="H413" s="13" t="n"/>
      <c r="I413" s="13" t="n"/>
      <c r="J413" s="13" t="n"/>
      <c r="K413" s="13" t="n"/>
      <c r="L413" s="10" t="n"/>
      <c r="M413" s="10" t="n"/>
      <c r="N413" s="14">
        <f>IF(A413="","",WEEKNUM(A413,2))</f>
        <v/>
      </c>
      <c r="O413" s="15">
        <f>IF(OR(A413="",F413=""),"",LOOKUP(F413,Lists!$F$2:$F$5,Lists!$G$2:$G$5))</f>
        <v/>
      </c>
      <c r="P413" s="16">
        <f>IF(A413="","",SUM(H413:K413))</f>
        <v/>
      </c>
      <c r="Q413" s="17">
        <f>IF(A413="","",IFERROR(P413/G413,""))</f>
        <v/>
      </c>
      <c r="R413" s="14">
        <f>IF(OR(A413="",G413=""),"",COUNTIFS($N$2:$N$1000,"&gt;0",$G$2:$G$1000,"&gt;"&amp;G413)+COUNTIFS($N$2:N413,"&gt;0",$G$2:G413,G413))</f>
        <v/>
      </c>
    </row>
    <row r="414">
      <c r="A414" s="9" t="n"/>
      <c r="B414" s="10" t="n"/>
      <c r="C414" s="10" t="n"/>
      <c r="D414" s="10" t="n"/>
      <c r="E414" s="10" t="n"/>
      <c r="F414" s="12" t="n"/>
      <c r="G414" s="13" t="n"/>
      <c r="H414" s="13" t="n"/>
      <c r="I414" s="13" t="n"/>
      <c r="J414" s="13" t="n"/>
      <c r="K414" s="13" t="n"/>
      <c r="L414" s="10" t="n"/>
      <c r="M414" s="10" t="n"/>
      <c r="N414" s="14">
        <f>IF(A414="","",WEEKNUM(A414,2))</f>
        <v/>
      </c>
      <c r="O414" s="15">
        <f>IF(OR(A414="",F414=""),"",LOOKUP(F414,Lists!$F$2:$F$5,Lists!$G$2:$G$5))</f>
        <v/>
      </c>
      <c r="P414" s="16">
        <f>IF(A414="","",SUM(H414:K414))</f>
        <v/>
      </c>
      <c r="Q414" s="17">
        <f>IF(A414="","",IFERROR(P414/G414,""))</f>
        <v/>
      </c>
      <c r="R414" s="14">
        <f>IF(OR(A414="",G414=""),"",COUNTIFS($N$2:$N$1000,"&gt;0",$G$2:$G$1000,"&gt;"&amp;G414)+COUNTIFS($N$2:N414,"&gt;0",$G$2:G414,G414))</f>
        <v/>
      </c>
    </row>
    <row r="415">
      <c r="A415" s="9" t="n"/>
      <c r="B415" s="10" t="n"/>
      <c r="C415" s="10" t="n"/>
      <c r="D415" s="10" t="n"/>
      <c r="E415" s="10" t="n"/>
      <c r="F415" s="12" t="n"/>
      <c r="G415" s="13" t="n"/>
      <c r="H415" s="13" t="n"/>
      <c r="I415" s="13" t="n"/>
      <c r="J415" s="13" t="n"/>
      <c r="K415" s="13" t="n"/>
      <c r="L415" s="10" t="n"/>
      <c r="M415" s="10" t="n"/>
      <c r="N415" s="14">
        <f>IF(A415="","",WEEKNUM(A415,2))</f>
        <v/>
      </c>
      <c r="O415" s="15">
        <f>IF(OR(A415="",F415=""),"",LOOKUP(F415,Lists!$F$2:$F$5,Lists!$G$2:$G$5))</f>
        <v/>
      </c>
      <c r="P415" s="16">
        <f>IF(A415="","",SUM(H415:K415))</f>
        <v/>
      </c>
      <c r="Q415" s="17">
        <f>IF(A415="","",IFERROR(P415/G415,""))</f>
        <v/>
      </c>
      <c r="R415" s="14">
        <f>IF(OR(A415="",G415=""),"",COUNTIFS($N$2:$N$1000,"&gt;0",$G$2:$G$1000,"&gt;"&amp;G415)+COUNTIFS($N$2:N415,"&gt;0",$G$2:G415,G415))</f>
        <v/>
      </c>
    </row>
    <row r="416">
      <c r="A416" s="9" t="n"/>
      <c r="B416" s="10" t="n"/>
      <c r="C416" s="10" t="n"/>
      <c r="D416" s="10" t="n"/>
      <c r="E416" s="10" t="n"/>
      <c r="F416" s="12" t="n"/>
      <c r="G416" s="13" t="n"/>
      <c r="H416" s="13" t="n"/>
      <c r="I416" s="13" t="n"/>
      <c r="J416" s="13" t="n"/>
      <c r="K416" s="13" t="n"/>
      <c r="L416" s="10" t="n"/>
      <c r="M416" s="10" t="n"/>
      <c r="N416" s="14">
        <f>IF(A416="","",WEEKNUM(A416,2))</f>
        <v/>
      </c>
      <c r="O416" s="15">
        <f>IF(OR(A416="",F416=""),"",LOOKUP(F416,Lists!$F$2:$F$5,Lists!$G$2:$G$5))</f>
        <v/>
      </c>
      <c r="P416" s="16">
        <f>IF(A416="","",SUM(H416:K416))</f>
        <v/>
      </c>
      <c r="Q416" s="17">
        <f>IF(A416="","",IFERROR(P416/G416,""))</f>
        <v/>
      </c>
      <c r="R416" s="14">
        <f>IF(OR(A416="",G416=""),"",COUNTIFS($N$2:$N$1000,"&gt;0",$G$2:$G$1000,"&gt;"&amp;G416)+COUNTIFS($N$2:N416,"&gt;0",$G$2:G416,G416))</f>
        <v/>
      </c>
    </row>
    <row r="417">
      <c r="A417" s="9" t="n"/>
      <c r="B417" s="10" t="n"/>
      <c r="C417" s="10" t="n"/>
      <c r="D417" s="10" t="n"/>
      <c r="E417" s="10" t="n"/>
      <c r="F417" s="12" t="n"/>
      <c r="G417" s="13" t="n"/>
      <c r="H417" s="13" t="n"/>
      <c r="I417" s="13" t="n"/>
      <c r="J417" s="13" t="n"/>
      <c r="K417" s="13" t="n"/>
      <c r="L417" s="10" t="n"/>
      <c r="M417" s="10" t="n"/>
      <c r="N417" s="14">
        <f>IF(A417="","",WEEKNUM(A417,2))</f>
        <v/>
      </c>
      <c r="O417" s="15">
        <f>IF(OR(A417="",F417=""),"",LOOKUP(F417,Lists!$F$2:$F$5,Lists!$G$2:$G$5))</f>
        <v/>
      </c>
      <c r="P417" s="16">
        <f>IF(A417="","",SUM(H417:K417))</f>
        <v/>
      </c>
      <c r="Q417" s="17">
        <f>IF(A417="","",IFERROR(P417/G417,""))</f>
        <v/>
      </c>
      <c r="R417" s="14">
        <f>IF(OR(A417="",G417=""),"",COUNTIFS($N$2:$N$1000,"&gt;0",$G$2:$G$1000,"&gt;"&amp;G417)+COUNTIFS($N$2:N417,"&gt;0",$G$2:G417,G417))</f>
        <v/>
      </c>
    </row>
    <row r="418">
      <c r="A418" s="9" t="n"/>
      <c r="B418" s="10" t="n"/>
      <c r="C418" s="10" t="n"/>
      <c r="D418" s="10" t="n"/>
      <c r="E418" s="10" t="n"/>
      <c r="F418" s="12" t="n"/>
      <c r="G418" s="13" t="n"/>
      <c r="H418" s="13" t="n"/>
      <c r="I418" s="13" t="n"/>
      <c r="J418" s="13" t="n"/>
      <c r="K418" s="13" t="n"/>
      <c r="L418" s="10" t="n"/>
      <c r="M418" s="10" t="n"/>
      <c r="N418" s="14">
        <f>IF(A418="","",WEEKNUM(A418,2))</f>
        <v/>
      </c>
      <c r="O418" s="15">
        <f>IF(OR(A418="",F418=""),"",LOOKUP(F418,Lists!$F$2:$F$5,Lists!$G$2:$G$5))</f>
        <v/>
      </c>
      <c r="P418" s="16">
        <f>IF(A418="","",SUM(H418:K418))</f>
        <v/>
      </c>
      <c r="Q418" s="17">
        <f>IF(A418="","",IFERROR(P418/G418,""))</f>
        <v/>
      </c>
      <c r="R418" s="14">
        <f>IF(OR(A418="",G418=""),"",COUNTIFS($N$2:$N$1000,"&gt;0",$G$2:$G$1000,"&gt;"&amp;G418)+COUNTIFS($N$2:N418,"&gt;0",$G$2:G418,G418))</f>
        <v/>
      </c>
    </row>
    <row r="419">
      <c r="A419" s="9" t="n"/>
      <c r="B419" s="10" t="n"/>
      <c r="C419" s="10" t="n"/>
      <c r="D419" s="10" t="n"/>
      <c r="E419" s="10" t="n"/>
      <c r="F419" s="12" t="n"/>
      <c r="G419" s="13" t="n"/>
      <c r="H419" s="13" t="n"/>
      <c r="I419" s="13" t="n"/>
      <c r="J419" s="13" t="n"/>
      <c r="K419" s="13" t="n"/>
      <c r="L419" s="10" t="n"/>
      <c r="M419" s="10" t="n"/>
      <c r="N419" s="14">
        <f>IF(A419="","",WEEKNUM(A419,2))</f>
        <v/>
      </c>
      <c r="O419" s="15">
        <f>IF(OR(A419="",F419=""),"",LOOKUP(F419,Lists!$F$2:$F$5,Lists!$G$2:$G$5))</f>
        <v/>
      </c>
      <c r="P419" s="16">
        <f>IF(A419="","",SUM(H419:K419))</f>
        <v/>
      </c>
      <c r="Q419" s="17">
        <f>IF(A419="","",IFERROR(P419/G419,""))</f>
        <v/>
      </c>
      <c r="R419" s="14">
        <f>IF(OR(A419="",G419=""),"",COUNTIFS($N$2:$N$1000,"&gt;0",$G$2:$G$1000,"&gt;"&amp;G419)+COUNTIFS($N$2:N419,"&gt;0",$G$2:G419,G419))</f>
        <v/>
      </c>
    </row>
    <row r="420">
      <c r="A420" s="9" t="n"/>
      <c r="B420" s="10" t="n"/>
      <c r="C420" s="10" t="n"/>
      <c r="D420" s="10" t="n"/>
      <c r="E420" s="10" t="n"/>
      <c r="F420" s="12" t="n"/>
      <c r="G420" s="13" t="n"/>
      <c r="H420" s="13" t="n"/>
      <c r="I420" s="13" t="n"/>
      <c r="J420" s="13" t="n"/>
      <c r="K420" s="13" t="n"/>
      <c r="L420" s="10" t="n"/>
      <c r="M420" s="10" t="n"/>
      <c r="N420" s="14">
        <f>IF(A420="","",WEEKNUM(A420,2))</f>
        <v/>
      </c>
      <c r="O420" s="15">
        <f>IF(OR(A420="",F420=""),"",LOOKUP(F420,Lists!$F$2:$F$5,Lists!$G$2:$G$5))</f>
        <v/>
      </c>
      <c r="P420" s="16">
        <f>IF(A420="","",SUM(H420:K420))</f>
        <v/>
      </c>
      <c r="Q420" s="17">
        <f>IF(A420="","",IFERROR(P420/G420,""))</f>
        <v/>
      </c>
      <c r="R420" s="14">
        <f>IF(OR(A420="",G420=""),"",COUNTIFS($N$2:$N$1000,"&gt;0",$G$2:$G$1000,"&gt;"&amp;G420)+COUNTIFS($N$2:N420,"&gt;0",$G$2:G420,G420))</f>
        <v/>
      </c>
    </row>
    <row r="421">
      <c r="A421" s="9" t="n"/>
      <c r="B421" s="10" t="n"/>
      <c r="C421" s="10" t="n"/>
      <c r="D421" s="10" t="n"/>
      <c r="E421" s="10" t="n"/>
      <c r="F421" s="12" t="n"/>
      <c r="G421" s="13" t="n"/>
      <c r="H421" s="13" t="n"/>
      <c r="I421" s="13" t="n"/>
      <c r="J421" s="13" t="n"/>
      <c r="K421" s="13" t="n"/>
      <c r="L421" s="10" t="n"/>
      <c r="M421" s="10" t="n"/>
      <c r="N421" s="14">
        <f>IF(A421="","",WEEKNUM(A421,2))</f>
        <v/>
      </c>
      <c r="O421" s="15">
        <f>IF(OR(A421="",F421=""),"",LOOKUP(F421,Lists!$F$2:$F$5,Lists!$G$2:$G$5))</f>
        <v/>
      </c>
      <c r="P421" s="16">
        <f>IF(A421="","",SUM(H421:K421))</f>
        <v/>
      </c>
      <c r="Q421" s="17">
        <f>IF(A421="","",IFERROR(P421/G421,""))</f>
        <v/>
      </c>
      <c r="R421" s="14">
        <f>IF(OR(A421="",G421=""),"",COUNTIFS($N$2:$N$1000,"&gt;0",$G$2:$G$1000,"&gt;"&amp;G421)+COUNTIFS($N$2:N421,"&gt;0",$G$2:G421,G421))</f>
        <v/>
      </c>
    </row>
    <row r="422">
      <c r="A422" s="9" t="n"/>
      <c r="B422" s="10" t="n"/>
      <c r="C422" s="10" t="n"/>
      <c r="D422" s="10" t="n"/>
      <c r="E422" s="10" t="n"/>
      <c r="F422" s="12" t="n"/>
      <c r="G422" s="13" t="n"/>
      <c r="H422" s="13" t="n"/>
      <c r="I422" s="13" t="n"/>
      <c r="J422" s="13" t="n"/>
      <c r="K422" s="13" t="n"/>
      <c r="L422" s="10" t="n"/>
      <c r="M422" s="10" t="n"/>
      <c r="N422" s="14">
        <f>IF(A422="","",WEEKNUM(A422,2))</f>
        <v/>
      </c>
      <c r="O422" s="15">
        <f>IF(OR(A422="",F422=""),"",LOOKUP(F422,Lists!$F$2:$F$5,Lists!$G$2:$G$5))</f>
        <v/>
      </c>
      <c r="P422" s="16">
        <f>IF(A422="","",SUM(H422:K422))</f>
        <v/>
      </c>
      <c r="Q422" s="17">
        <f>IF(A422="","",IFERROR(P422/G422,""))</f>
        <v/>
      </c>
      <c r="R422" s="14">
        <f>IF(OR(A422="",G422=""),"",COUNTIFS($N$2:$N$1000,"&gt;0",$G$2:$G$1000,"&gt;"&amp;G422)+COUNTIFS($N$2:N422,"&gt;0",$G$2:G422,G422))</f>
        <v/>
      </c>
    </row>
    <row r="423">
      <c r="A423" s="9" t="n"/>
      <c r="B423" s="10" t="n"/>
      <c r="C423" s="10" t="n"/>
      <c r="D423" s="10" t="n"/>
      <c r="E423" s="10" t="n"/>
      <c r="F423" s="12" t="n"/>
      <c r="G423" s="13" t="n"/>
      <c r="H423" s="13" t="n"/>
      <c r="I423" s="13" t="n"/>
      <c r="J423" s="13" t="n"/>
      <c r="K423" s="13" t="n"/>
      <c r="L423" s="10" t="n"/>
      <c r="M423" s="10" t="n"/>
      <c r="N423" s="14">
        <f>IF(A423="","",WEEKNUM(A423,2))</f>
        <v/>
      </c>
      <c r="O423" s="15">
        <f>IF(OR(A423="",F423=""),"",LOOKUP(F423,Lists!$F$2:$F$5,Lists!$G$2:$G$5))</f>
        <v/>
      </c>
      <c r="P423" s="16">
        <f>IF(A423="","",SUM(H423:K423))</f>
        <v/>
      </c>
      <c r="Q423" s="17">
        <f>IF(A423="","",IFERROR(P423/G423,""))</f>
        <v/>
      </c>
      <c r="R423" s="14">
        <f>IF(OR(A423="",G423=""),"",COUNTIFS($N$2:$N$1000,"&gt;0",$G$2:$G$1000,"&gt;"&amp;G423)+COUNTIFS($N$2:N423,"&gt;0",$G$2:G423,G423))</f>
        <v/>
      </c>
    </row>
    <row r="424">
      <c r="A424" s="9" t="n"/>
      <c r="B424" s="10" t="n"/>
      <c r="C424" s="10" t="n"/>
      <c r="D424" s="10" t="n"/>
      <c r="E424" s="10" t="n"/>
      <c r="F424" s="12" t="n"/>
      <c r="G424" s="13" t="n"/>
      <c r="H424" s="13" t="n"/>
      <c r="I424" s="13" t="n"/>
      <c r="J424" s="13" t="n"/>
      <c r="K424" s="13" t="n"/>
      <c r="L424" s="10" t="n"/>
      <c r="M424" s="10" t="n"/>
      <c r="N424" s="14">
        <f>IF(A424="","",WEEKNUM(A424,2))</f>
        <v/>
      </c>
      <c r="O424" s="15">
        <f>IF(OR(A424="",F424=""),"",LOOKUP(F424,Lists!$F$2:$F$5,Lists!$G$2:$G$5))</f>
        <v/>
      </c>
      <c r="P424" s="16">
        <f>IF(A424="","",SUM(H424:K424))</f>
        <v/>
      </c>
      <c r="Q424" s="17">
        <f>IF(A424="","",IFERROR(P424/G424,""))</f>
        <v/>
      </c>
      <c r="R424" s="14">
        <f>IF(OR(A424="",G424=""),"",COUNTIFS($N$2:$N$1000,"&gt;0",$G$2:$G$1000,"&gt;"&amp;G424)+COUNTIFS($N$2:N424,"&gt;0",$G$2:G424,G424))</f>
        <v/>
      </c>
    </row>
    <row r="425">
      <c r="A425" s="9" t="n"/>
      <c r="B425" s="10" t="n"/>
      <c r="C425" s="10" t="n"/>
      <c r="D425" s="10" t="n"/>
      <c r="E425" s="10" t="n"/>
      <c r="F425" s="12" t="n"/>
      <c r="G425" s="13" t="n"/>
      <c r="H425" s="13" t="n"/>
      <c r="I425" s="13" t="n"/>
      <c r="J425" s="13" t="n"/>
      <c r="K425" s="13" t="n"/>
      <c r="L425" s="10" t="n"/>
      <c r="M425" s="10" t="n"/>
      <c r="N425" s="14">
        <f>IF(A425="","",WEEKNUM(A425,2))</f>
        <v/>
      </c>
      <c r="O425" s="15">
        <f>IF(OR(A425="",F425=""),"",LOOKUP(F425,Lists!$F$2:$F$5,Lists!$G$2:$G$5))</f>
        <v/>
      </c>
      <c r="P425" s="16">
        <f>IF(A425="","",SUM(H425:K425))</f>
        <v/>
      </c>
      <c r="Q425" s="17">
        <f>IF(A425="","",IFERROR(P425/G425,""))</f>
        <v/>
      </c>
      <c r="R425" s="14">
        <f>IF(OR(A425="",G425=""),"",COUNTIFS($N$2:$N$1000,"&gt;0",$G$2:$G$1000,"&gt;"&amp;G425)+COUNTIFS($N$2:N425,"&gt;0",$G$2:G425,G425))</f>
        <v/>
      </c>
    </row>
    <row r="426">
      <c r="A426" s="9" t="n"/>
      <c r="B426" s="10" t="n"/>
      <c r="C426" s="10" t="n"/>
      <c r="D426" s="10" t="n"/>
      <c r="E426" s="10" t="n"/>
      <c r="F426" s="12" t="n"/>
      <c r="G426" s="13" t="n"/>
      <c r="H426" s="13" t="n"/>
      <c r="I426" s="13" t="n"/>
      <c r="J426" s="13" t="n"/>
      <c r="K426" s="13" t="n"/>
      <c r="L426" s="10" t="n"/>
      <c r="M426" s="10" t="n"/>
      <c r="N426" s="14">
        <f>IF(A426="","",WEEKNUM(A426,2))</f>
        <v/>
      </c>
      <c r="O426" s="15">
        <f>IF(OR(A426="",F426=""),"",LOOKUP(F426,Lists!$F$2:$F$5,Lists!$G$2:$G$5))</f>
        <v/>
      </c>
      <c r="P426" s="16">
        <f>IF(A426="","",SUM(H426:K426))</f>
        <v/>
      </c>
      <c r="Q426" s="17">
        <f>IF(A426="","",IFERROR(P426/G426,""))</f>
        <v/>
      </c>
      <c r="R426" s="14">
        <f>IF(OR(A426="",G426=""),"",COUNTIFS($N$2:$N$1000,"&gt;0",$G$2:$G$1000,"&gt;"&amp;G426)+COUNTIFS($N$2:N426,"&gt;0",$G$2:G426,G426))</f>
        <v/>
      </c>
    </row>
    <row r="427">
      <c r="A427" s="9" t="n"/>
      <c r="B427" s="10" t="n"/>
      <c r="C427" s="10" t="n"/>
      <c r="D427" s="10" t="n"/>
      <c r="E427" s="10" t="n"/>
      <c r="F427" s="12" t="n"/>
      <c r="G427" s="13" t="n"/>
      <c r="H427" s="13" t="n"/>
      <c r="I427" s="13" t="n"/>
      <c r="J427" s="13" t="n"/>
      <c r="K427" s="13" t="n"/>
      <c r="L427" s="10" t="n"/>
      <c r="M427" s="10" t="n"/>
      <c r="N427" s="14">
        <f>IF(A427="","",WEEKNUM(A427,2))</f>
        <v/>
      </c>
      <c r="O427" s="15">
        <f>IF(OR(A427="",F427=""),"",LOOKUP(F427,Lists!$F$2:$F$5,Lists!$G$2:$G$5))</f>
        <v/>
      </c>
      <c r="P427" s="16">
        <f>IF(A427="","",SUM(H427:K427))</f>
        <v/>
      </c>
      <c r="Q427" s="17">
        <f>IF(A427="","",IFERROR(P427/G427,""))</f>
        <v/>
      </c>
      <c r="R427" s="14">
        <f>IF(OR(A427="",G427=""),"",COUNTIFS($N$2:$N$1000,"&gt;0",$G$2:$G$1000,"&gt;"&amp;G427)+COUNTIFS($N$2:N427,"&gt;0",$G$2:G427,G427))</f>
        <v/>
      </c>
    </row>
    <row r="428">
      <c r="A428" s="9" t="n"/>
      <c r="B428" s="10" t="n"/>
      <c r="C428" s="10" t="n"/>
      <c r="D428" s="10" t="n"/>
      <c r="E428" s="10" t="n"/>
      <c r="F428" s="12" t="n"/>
      <c r="G428" s="13" t="n"/>
      <c r="H428" s="13" t="n"/>
      <c r="I428" s="13" t="n"/>
      <c r="J428" s="13" t="n"/>
      <c r="K428" s="13" t="n"/>
      <c r="L428" s="10" t="n"/>
      <c r="M428" s="10" t="n"/>
      <c r="N428" s="14">
        <f>IF(A428="","",WEEKNUM(A428,2))</f>
        <v/>
      </c>
      <c r="O428" s="15">
        <f>IF(OR(A428="",F428=""),"",LOOKUP(F428,Lists!$F$2:$F$5,Lists!$G$2:$G$5))</f>
        <v/>
      </c>
      <c r="P428" s="16">
        <f>IF(A428="","",SUM(H428:K428))</f>
        <v/>
      </c>
      <c r="Q428" s="17">
        <f>IF(A428="","",IFERROR(P428/G428,""))</f>
        <v/>
      </c>
      <c r="R428" s="14">
        <f>IF(OR(A428="",G428=""),"",COUNTIFS($N$2:$N$1000,"&gt;0",$G$2:$G$1000,"&gt;"&amp;G428)+COUNTIFS($N$2:N428,"&gt;0",$G$2:G428,G428))</f>
        <v/>
      </c>
    </row>
    <row r="429">
      <c r="A429" s="9" t="n"/>
      <c r="B429" s="10" t="n"/>
      <c r="C429" s="10" t="n"/>
      <c r="D429" s="10" t="n"/>
      <c r="E429" s="10" t="n"/>
      <c r="F429" s="12" t="n"/>
      <c r="G429" s="13" t="n"/>
      <c r="H429" s="13" t="n"/>
      <c r="I429" s="13" t="n"/>
      <c r="J429" s="13" t="n"/>
      <c r="K429" s="13" t="n"/>
      <c r="L429" s="10" t="n"/>
      <c r="M429" s="10" t="n"/>
      <c r="N429" s="14">
        <f>IF(A429="","",WEEKNUM(A429,2))</f>
        <v/>
      </c>
      <c r="O429" s="15">
        <f>IF(OR(A429="",F429=""),"",LOOKUP(F429,Lists!$F$2:$F$5,Lists!$G$2:$G$5))</f>
        <v/>
      </c>
      <c r="P429" s="16">
        <f>IF(A429="","",SUM(H429:K429))</f>
        <v/>
      </c>
      <c r="Q429" s="17">
        <f>IF(A429="","",IFERROR(P429/G429,""))</f>
        <v/>
      </c>
      <c r="R429" s="14">
        <f>IF(OR(A429="",G429=""),"",COUNTIFS($N$2:$N$1000,"&gt;0",$G$2:$G$1000,"&gt;"&amp;G429)+COUNTIFS($N$2:N429,"&gt;0",$G$2:G429,G429))</f>
        <v/>
      </c>
    </row>
    <row r="430">
      <c r="A430" s="9" t="n"/>
      <c r="B430" s="10" t="n"/>
      <c r="C430" s="10" t="n"/>
      <c r="D430" s="10" t="n"/>
      <c r="E430" s="10" t="n"/>
      <c r="F430" s="12" t="n"/>
      <c r="G430" s="13" t="n"/>
      <c r="H430" s="13" t="n"/>
      <c r="I430" s="13" t="n"/>
      <c r="J430" s="13" t="n"/>
      <c r="K430" s="13" t="n"/>
      <c r="L430" s="10" t="n"/>
      <c r="M430" s="10" t="n"/>
      <c r="N430" s="14">
        <f>IF(A430="","",WEEKNUM(A430,2))</f>
        <v/>
      </c>
      <c r="O430" s="15">
        <f>IF(OR(A430="",F430=""),"",LOOKUP(F430,Lists!$F$2:$F$5,Lists!$G$2:$G$5))</f>
        <v/>
      </c>
      <c r="P430" s="16">
        <f>IF(A430="","",SUM(H430:K430))</f>
        <v/>
      </c>
      <c r="Q430" s="17">
        <f>IF(A430="","",IFERROR(P430/G430,""))</f>
        <v/>
      </c>
      <c r="R430" s="14">
        <f>IF(OR(A430="",G430=""),"",COUNTIFS($N$2:$N$1000,"&gt;0",$G$2:$G$1000,"&gt;"&amp;G430)+COUNTIFS($N$2:N430,"&gt;0",$G$2:G430,G430))</f>
        <v/>
      </c>
    </row>
    <row r="431">
      <c r="A431" s="9" t="n"/>
      <c r="B431" s="10" t="n"/>
      <c r="C431" s="10" t="n"/>
      <c r="D431" s="10" t="n"/>
      <c r="E431" s="10" t="n"/>
      <c r="F431" s="12" t="n"/>
      <c r="G431" s="13" t="n"/>
      <c r="H431" s="13" t="n"/>
      <c r="I431" s="13" t="n"/>
      <c r="J431" s="13" t="n"/>
      <c r="K431" s="13" t="n"/>
      <c r="L431" s="10" t="n"/>
      <c r="M431" s="10" t="n"/>
      <c r="N431" s="14">
        <f>IF(A431="","",WEEKNUM(A431,2))</f>
        <v/>
      </c>
      <c r="O431" s="15">
        <f>IF(OR(A431="",F431=""),"",LOOKUP(F431,Lists!$F$2:$F$5,Lists!$G$2:$G$5))</f>
        <v/>
      </c>
      <c r="P431" s="16">
        <f>IF(A431="","",SUM(H431:K431))</f>
        <v/>
      </c>
      <c r="Q431" s="17">
        <f>IF(A431="","",IFERROR(P431/G431,""))</f>
        <v/>
      </c>
      <c r="R431" s="14">
        <f>IF(OR(A431="",G431=""),"",COUNTIFS($N$2:$N$1000,"&gt;0",$G$2:$G$1000,"&gt;"&amp;G431)+COUNTIFS($N$2:N431,"&gt;0",$G$2:G431,G431))</f>
        <v/>
      </c>
    </row>
    <row r="432">
      <c r="A432" s="9" t="n"/>
      <c r="B432" s="10" t="n"/>
      <c r="C432" s="10" t="n"/>
      <c r="D432" s="10" t="n"/>
      <c r="E432" s="10" t="n"/>
      <c r="F432" s="12" t="n"/>
      <c r="G432" s="13" t="n"/>
      <c r="H432" s="13" t="n"/>
      <c r="I432" s="13" t="n"/>
      <c r="J432" s="13" t="n"/>
      <c r="K432" s="13" t="n"/>
      <c r="L432" s="10" t="n"/>
      <c r="M432" s="10" t="n"/>
      <c r="N432" s="14">
        <f>IF(A432="","",WEEKNUM(A432,2))</f>
        <v/>
      </c>
      <c r="O432" s="15">
        <f>IF(OR(A432="",F432=""),"",LOOKUP(F432,Lists!$F$2:$F$5,Lists!$G$2:$G$5))</f>
        <v/>
      </c>
      <c r="P432" s="16">
        <f>IF(A432="","",SUM(H432:K432))</f>
        <v/>
      </c>
      <c r="Q432" s="17">
        <f>IF(A432="","",IFERROR(P432/G432,""))</f>
        <v/>
      </c>
      <c r="R432" s="14">
        <f>IF(OR(A432="",G432=""),"",COUNTIFS($N$2:$N$1000,"&gt;0",$G$2:$G$1000,"&gt;"&amp;G432)+COUNTIFS($N$2:N432,"&gt;0",$G$2:G432,G432))</f>
        <v/>
      </c>
    </row>
    <row r="433">
      <c r="A433" s="9" t="n"/>
      <c r="B433" s="10" t="n"/>
      <c r="C433" s="10" t="n"/>
      <c r="D433" s="10" t="n"/>
      <c r="E433" s="10" t="n"/>
      <c r="F433" s="12" t="n"/>
      <c r="G433" s="13" t="n"/>
      <c r="H433" s="13" t="n"/>
      <c r="I433" s="13" t="n"/>
      <c r="J433" s="13" t="n"/>
      <c r="K433" s="13" t="n"/>
      <c r="L433" s="10" t="n"/>
      <c r="M433" s="10" t="n"/>
      <c r="N433" s="14">
        <f>IF(A433="","",WEEKNUM(A433,2))</f>
        <v/>
      </c>
      <c r="O433" s="15">
        <f>IF(OR(A433="",F433=""),"",LOOKUP(F433,Lists!$F$2:$F$5,Lists!$G$2:$G$5))</f>
        <v/>
      </c>
      <c r="P433" s="16">
        <f>IF(A433="","",SUM(H433:K433))</f>
        <v/>
      </c>
      <c r="Q433" s="17">
        <f>IF(A433="","",IFERROR(P433/G433,""))</f>
        <v/>
      </c>
      <c r="R433" s="14">
        <f>IF(OR(A433="",G433=""),"",COUNTIFS($N$2:$N$1000,"&gt;0",$G$2:$G$1000,"&gt;"&amp;G433)+COUNTIFS($N$2:N433,"&gt;0",$G$2:G433,G433))</f>
        <v/>
      </c>
    </row>
    <row r="434">
      <c r="A434" s="9" t="n"/>
      <c r="B434" s="10" t="n"/>
      <c r="C434" s="10" t="n"/>
      <c r="D434" s="10" t="n"/>
      <c r="E434" s="10" t="n"/>
      <c r="F434" s="12" t="n"/>
      <c r="G434" s="13" t="n"/>
      <c r="H434" s="13" t="n"/>
      <c r="I434" s="13" t="n"/>
      <c r="J434" s="13" t="n"/>
      <c r="K434" s="13" t="n"/>
      <c r="L434" s="10" t="n"/>
      <c r="M434" s="10" t="n"/>
      <c r="N434" s="14">
        <f>IF(A434="","",WEEKNUM(A434,2))</f>
        <v/>
      </c>
      <c r="O434" s="15">
        <f>IF(OR(A434="",F434=""),"",LOOKUP(F434,Lists!$F$2:$F$5,Lists!$G$2:$G$5))</f>
        <v/>
      </c>
      <c r="P434" s="16">
        <f>IF(A434="","",SUM(H434:K434))</f>
        <v/>
      </c>
      <c r="Q434" s="17">
        <f>IF(A434="","",IFERROR(P434/G434,""))</f>
        <v/>
      </c>
      <c r="R434" s="14">
        <f>IF(OR(A434="",G434=""),"",COUNTIFS($N$2:$N$1000,"&gt;0",$G$2:$G$1000,"&gt;"&amp;G434)+COUNTIFS($N$2:N434,"&gt;0",$G$2:G434,G434))</f>
        <v/>
      </c>
    </row>
    <row r="435">
      <c r="A435" s="9" t="n"/>
      <c r="B435" s="10" t="n"/>
      <c r="C435" s="10" t="n"/>
      <c r="D435" s="10" t="n"/>
      <c r="E435" s="10" t="n"/>
      <c r="F435" s="12" t="n"/>
      <c r="G435" s="13" t="n"/>
      <c r="H435" s="13" t="n"/>
      <c r="I435" s="13" t="n"/>
      <c r="J435" s="13" t="n"/>
      <c r="K435" s="13" t="n"/>
      <c r="L435" s="10" t="n"/>
      <c r="M435" s="10" t="n"/>
      <c r="N435" s="14">
        <f>IF(A435="","",WEEKNUM(A435,2))</f>
        <v/>
      </c>
      <c r="O435" s="15">
        <f>IF(OR(A435="",F435=""),"",LOOKUP(F435,Lists!$F$2:$F$5,Lists!$G$2:$G$5))</f>
        <v/>
      </c>
      <c r="P435" s="16">
        <f>IF(A435="","",SUM(H435:K435))</f>
        <v/>
      </c>
      <c r="Q435" s="17">
        <f>IF(A435="","",IFERROR(P435/G435,""))</f>
        <v/>
      </c>
      <c r="R435" s="14">
        <f>IF(OR(A435="",G435=""),"",COUNTIFS($N$2:$N$1000,"&gt;0",$G$2:$G$1000,"&gt;"&amp;G435)+COUNTIFS($N$2:N435,"&gt;0",$G$2:G435,G435))</f>
        <v/>
      </c>
    </row>
    <row r="436">
      <c r="A436" s="9" t="n"/>
      <c r="B436" s="10" t="n"/>
      <c r="C436" s="10" t="n"/>
      <c r="D436" s="10" t="n"/>
      <c r="E436" s="10" t="n"/>
      <c r="F436" s="12" t="n"/>
      <c r="G436" s="13" t="n"/>
      <c r="H436" s="13" t="n"/>
      <c r="I436" s="13" t="n"/>
      <c r="J436" s="13" t="n"/>
      <c r="K436" s="13" t="n"/>
      <c r="L436" s="10" t="n"/>
      <c r="M436" s="10" t="n"/>
      <c r="N436" s="14">
        <f>IF(A436="","",WEEKNUM(A436,2))</f>
        <v/>
      </c>
      <c r="O436" s="15">
        <f>IF(OR(A436="",F436=""),"",LOOKUP(F436,Lists!$F$2:$F$5,Lists!$G$2:$G$5))</f>
        <v/>
      </c>
      <c r="P436" s="16">
        <f>IF(A436="","",SUM(H436:K436))</f>
        <v/>
      </c>
      <c r="Q436" s="17">
        <f>IF(A436="","",IFERROR(P436/G436,""))</f>
        <v/>
      </c>
      <c r="R436" s="14">
        <f>IF(OR(A436="",G436=""),"",COUNTIFS($N$2:$N$1000,"&gt;0",$G$2:$G$1000,"&gt;"&amp;G436)+COUNTIFS($N$2:N436,"&gt;0",$G$2:G436,G436))</f>
        <v/>
      </c>
    </row>
    <row r="437">
      <c r="A437" s="9" t="n"/>
      <c r="B437" s="10" t="n"/>
      <c r="C437" s="10" t="n"/>
      <c r="D437" s="10" t="n"/>
      <c r="E437" s="10" t="n"/>
      <c r="F437" s="12" t="n"/>
      <c r="G437" s="13" t="n"/>
      <c r="H437" s="13" t="n"/>
      <c r="I437" s="13" t="n"/>
      <c r="J437" s="13" t="n"/>
      <c r="K437" s="13" t="n"/>
      <c r="L437" s="10" t="n"/>
      <c r="M437" s="10" t="n"/>
      <c r="N437" s="14">
        <f>IF(A437="","",WEEKNUM(A437,2))</f>
        <v/>
      </c>
      <c r="O437" s="15">
        <f>IF(OR(A437="",F437=""),"",LOOKUP(F437,Lists!$F$2:$F$5,Lists!$G$2:$G$5))</f>
        <v/>
      </c>
      <c r="P437" s="16">
        <f>IF(A437="","",SUM(H437:K437))</f>
        <v/>
      </c>
      <c r="Q437" s="17">
        <f>IF(A437="","",IFERROR(P437/G437,""))</f>
        <v/>
      </c>
      <c r="R437" s="14">
        <f>IF(OR(A437="",G437=""),"",COUNTIFS($N$2:$N$1000,"&gt;0",$G$2:$G$1000,"&gt;"&amp;G437)+COUNTIFS($N$2:N437,"&gt;0",$G$2:G437,G437))</f>
        <v/>
      </c>
    </row>
    <row r="438">
      <c r="A438" s="9" t="n"/>
      <c r="B438" s="10" t="n"/>
      <c r="C438" s="10" t="n"/>
      <c r="D438" s="10" t="n"/>
      <c r="E438" s="10" t="n"/>
      <c r="F438" s="12" t="n"/>
      <c r="G438" s="13" t="n"/>
      <c r="H438" s="13" t="n"/>
      <c r="I438" s="13" t="n"/>
      <c r="J438" s="13" t="n"/>
      <c r="K438" s="13" t="n"/>
      <c r="L438" s="10" t="n"/>
      <c r="M438" s="10" t="n"/>
      <c r="N438" s="14">
        <f>IF(A438="","",WEEKNUM(A438,2))</f>
        <v/>
      </c>
      <c r="O438" s="15">
        <f>IF(OR(A438="",F438=""),"",LOOKUP(F438,Lists!$F$2:$F$5,Lists!$G$2:$G$5))</f>
        <v/>
      </c>
      <c r="P438" s="16">
        <f>IF(A438="","",SUM(H438:K438))</f>
        <v/>
      </c>
      <c r="Q438" s="17">
        <f>IF(A438="","",IFERROR(P438/G438,""))</f>
        <v/>
      </c>
      <c r="R438" s="14">
        <f>IF(OR(A438="",G438=""),"",COUNTIFS($N$2:$N$1000,"&gt;0",$G$2:$G$1000,"&gt;"&amp;G438)+COUNTIFS($N$2:N438,"&gt;0",$G$2:G438,G438))</f>
        <v/>
      </c>
    </row>
    <row r="439">
      <c r="A439" s="9" t="n"/>
      <c r="B439" s="10" t="n"/>
      <c r="C439" s="10" t="n"/>
      <c r="D439" s="10" t="n"/>
      <c r="E439" s="10" t="n"/>
      <c r="F439" s="12" t="n"/>
      <c r="G439" s="13" t="n"/>
      <c r="H439" s="13" t="n"/>
      <c r="I439" s="13" t="n"/>
      <c r="J439" s="13" t="n"/>
      <c r="K439" s="13" t="n"/>
      <c r="L439" s="10" t="n"/>
      <c r="M439" s="10" t="n"/>
      <c r="N439" s="14">
        <f>IF(A439="","",WEEKNUM(A439,2))</f>
        <v/>
      </c>
      <c r="O439" s="15">
        <f>IF(OR(A439="",F439=""),"",LOOKUP(F439,Lists!$F$2:$F$5,Lists!$G$2:$G$5))</f>
        <v/>
      </c>
      <c r="P439" s="16">
        <f>IF(A439="","",SUM(H439:K439))</f>
        <v/>
      </c>
      <c r="Q439" s="17">
        <f>IF(A439="","",IFERROR(P439/G439,""))</f>
        <v/>
      </c>
      <c r="R439" s="14">
        <f>IF(OR(A439="",G439=""),"",COUNTIFS($N$2:$N$1000,"&gt;0",$G$2:$G$1000,"&gt;"&amp;G439)+COUNTIFS($N$2:N439,"&gt;0",$G$2:G439,G439))</f>
        <v/>
      </c>
    </row>
    <row r="440">
      <c r="A440" s="9" t="n"/>
      <c r="B440" s="10" t="n"/>
      <c r="C440" s="10" t="n"/>
      <c r="D440" s="10" t="n"/>
      <c r="E440" s="10" t="n"/>
      <c r="F440" s="12" t="n"/>
      <c r="G440" s="13" t="n"/>
      <c r="H440" s="13" t="n"/>
      <c r="I440" s="13" t="n"/>
      <c r="J440" s="13" t="n"/>
      <c r="K440" s="13" t="n"/>
      <c r="L440" s="10" t="n"/>
      <c r="M440" s="10" t="n"/>
      <c r="N440" s="14">
        <f>IF(A440="","",WEEKNUM(A440,2))</f>
        <v/>
      </c>
      <c r="O440" s="15">
        <f>IF(OR(A440="",F440=""),"",LOOKUP(F440,Lists!$F$2:$F$5,Lists!$G$2:$G$5))</f>
        <v/>
      </c>
      <c r="P440" s="16">
        <f>IF(A440="","",SUM(H440:K440))</f>
        <v/>
      </c>
      <c r="Q440" s="17">
        <f>IF(A440="","",IFERROR(P440/G440,""))</f>
        <v/>
      </c>
      <c r="R440" s="14">
        <f>IF(OR(A440="",G440=""),"",COUNTIFS($N$2:$N$1000,"&gt;0",$G$2:$G$1000,"&gt;"&amp;G440)+COUNTIFS($N$2:N440,"&gt;0",$G$2:G440,G440))</f>
        <v/>
      </c>
    </row>
    <row r="441">
      <c r="A441" s="9" t="n"/>
      <c r="B441" s="10" t="n"/>
      <c r="C441" s="10" t="n"/>
      <c r="D441" s="10" t="n"/>
      <c r="E441" s="10" t="n"/>
      <c r="F441" s="12" t="n"/>
      <c r="G441" s="13" t="n"/>
      <c r="H441" s="13" t="n"/>
      <c r="I441" s="13" t="n"/>
      <c r="J441" s="13" t="n"/>
      <c r="K441" s="13" t="n"/>
      <c r="L441" s="10" t="n"/>
      <c r="M441" s="10" t="n"/>
      <c r="N441" s="14">
        <f>IF(A441="","",WEEKNUM(A441,2))</f>
        <v/>
      </c>
      <c r="O441" s="15">
        <f>IF(OR(A441="",F441=""),"",LOOKUP(F441,Lists!$F$2:$F$5,Lists!$G$2:$G$5))</f>
        <v/>
      </c>
      <c r="P441" s="16">
        <f>IF(A441="","",SUM(H441:K441))</f>
        <v/>
      </c>
      <c r="Q441" s="17">
        <f>IF(A441="","",IFERROR(P441/G441,""))</f>
        <v/>
      </c>
      <c r="R441" s="14">
        <f>IF(OR(A441="",G441=""),"",COUNTIFS($N$2:$N$1000,"&gt;0",$G$2:$G$1000,"&gt;"&amp;G441)+COUNTIFS($N$2:N441,"&gt;0",$G$2:G441,G441))</f>
        <v/>
      </c>
    </row>
    <row r="442">
      <c r="A442" s="9" t="n"/>
      <c r="B442" s="10" t="n"/>
      <c r="C442" s="10" t="n"/>
      <c r="D442" s="10" t="n"/>
      <c r="E442" s="10" t="n"/>
      <c r="F442" s="12" t="n"/>
      <c r="G442" s="13" t="n"/>
      <c r="H442" s="13" t="n"/>
      <c r="I442" s="13" t="n"/>
      <c r="J442" s="13" t="n"/>
      <c r="K442" s="13" t="n"/>
      <c r="L442" s="10" t="n"/>
      <c r="M442" s="10" t="n"/>
      <c r="N442" s="14">
        <f>IF(A442="","",WEEKNUM(A442,2))</f>
        <v/>
      </c>
      <c r="O442" s="15">
        <f>IF(OR(A442="",F442=""),"",LOOKUP(F442,Lists!$F$2:$F$5,Lists!$G$2:$G$5))</f>
        <v/>
      </c>
      <c r="P442" s="16">
        <f>IF(A442="","",SUM(H442:K442))</f>
        <v/>
      </c>
      <c r="Q442" s="17">
        <f>IF(A442="","",IFERROR(P442/G442,""))</f>
        <v/>
      </c>
      <c r="R442" s="14">
        <f>IF(OR(A442="",G442=""),"",COUNTIFS($N$2:$N$1000,"&gt;0",$G$2:$G$1000,"&gt;"&amp;G442)+COUNTIFS($N$2:N442,"&gt;0",$G$2:G442,G442))</f>
        <v/>
      </c>
    </row>
    <row r="443">
      <c r="A443" s="9" t="n"/>
      <c r="B443" s="10" t="n"/>
      <c r="C443" s="10" t="n"/>
      <c r="D443" s="10" t="n"/>
      <c r="E443" s="10" t="n"/>
      <c r="F443" s="12" t="n"/>
      <c r="G443" s="13" t="n"/>
      <c r="H443" s="13" t="n"/>
      <c r="I443" s="13" t="n"/>
      <c r="J443" s="13" t="n"/>
      <c r="K443" s="13" t="n"/>
      <c r="L443" s="10" t="n"/>
      <c r="M443" s="10" t="n"/>
      <c r="N443" s="14">
        <f>IF(A443="","",WEEKNUM(A443,2))</f>
        <v/>
      </c>
      <c r="O443" s="15">
        <f>IF(OR(A443="",F443=""),"",LOOKUP(F443,Lists!$F$2:$F$5,Lists!$G$2:$G$5))</f>
        <v/>
      </c>
      <c r="P443" s="16">
        <f>IF(A443="","",SUM(H443:K443))</f>
        <v/>
      </c>
      <c r="Q443" s="17">
        <f>IF(A443="","",IFERROR(P443/G443,""))</f>
        <v/>
      </c>
      <c r="R443" s="14">
        <f>IF(OR(A443="",G443=""),"",COUNTIFS($N$2:$N$1000,"&gt;0",$G$2:$G$1000,"&gt;"&amp;G443)+COUNTIFS($N$2:N443,"&gt;0",$G$2:G443,G443))</f>
        <v/>
      </c>
    </row>
    <row r="444">
      <c r="A444" s="9" t="n"/>
      <c r="B444" s="10" t="n"/>
      <c r="C444" s="10" t="n"/>
      <c r="D444" s="10" t="n"/>
      <c r="E444" s="10" t="n"/>
      <c r="F444" s="12" t="n"/>
      <c r="G444" s="13" t="n"/>
      <c r="H444" s="13" t="n"/>
      <c r="I444" s="13" t="n"/>
      <c r="J444" s="13" t="n"/>
      <c r="K444" s="13" t="n"/>
      <c r="L444" s="10" t="n"/>
      <c r="M444" s="10" t="n"/>
      <c r="N444" s="14">
        <f>IF(A444="","",WEEKNUM(A444,2))</f>
        <v/>
      </c>
      <c r="O444" s="15">
        <f>IF(OR(A444="",F444=""),"",LOOKUP(F444,Lists!$F$2:$F$5,Lists!$G$2:$G$5))</f>
        <v/>
      </c>
      <c r="P444" s="16">
        <f>IF(A444="","",SUM(H444:K444))</f>
        <v/>
      </c>
      <c r="Q444" s="17">
        <f>IF(A444="","",IFERROR(P444/G444,""))</f>
        <v/>
      </c>
      <c r="R444" s="14">
        <f>IF(OR(A444="",G444=""),"",COUNTIFS($N$2:$N$1000,"&gt;0",$G$2:$G$1000,"&gt;"&amp;G444)+COUNTIFS($N$2:N444,"&gt;0",$G$2:G444,G444))</f>
        <v/>
      </c>
    </row>
    <row r="445">
      <c r="A445" s="9" t="n"/>
      <c r="B445" s="10" t="n"/>
      <c r="C445" s="10" t="n"/>
      <c r="D445" s="10" t="n"/>
      <c r="E445" s="10" t="n"/>
      <c r="F445" s="12" t="n"/>
      <c r="G445" s="13" t="n"/>
      <c r="H445" s="13" t="n"/>
      <c r="I445" s="13" t="n"/>
      <c r="J445" s="13" t="n"/>
      <c r="K445" s="13" t="n"/>
      <c r="L445" s="10" t="n"/>
      <c r="M445" s="10" t="n"/>
      <c r="N445" s="14">
        <f>IF(A445="","",WEEKNUM(A445,2))</f>
        <v/>
      </c>
      <c r="O445" s="15">
        <f>IF(OR(A445="",F445=""),"",LOOKUP(F445,Lists!$F$2:$F$5,Lists!$G$2:$G$5))</f>
        <v/>
      </c>
      <c r="P445" s="16">
        <f>IF(A445="","",SUM(H445:K445))</f>
        <v/>
      </c>
      <c r="Q445" s="17">
        <f>IF(A445="","",IFERROR(P445/G445,""))</f>
        <v/>
      </c>
      <c r="R445" s="14">
        <f>IF(OR(A445="",G445=""),"",COUNTIFS($N$2:$N$1000,"&gt;0",$G$2:$G$1000,"&gt;"&amp;G445)+COUNTIFS($N$2:N445,"&gt;0",$G$2:G445,G445))</f>
        <v/>
      </c>
    </row>
    <row r="446">
      <c r="A446" s="9" t="n"/>
      <c r="B446" s="10" t="n"/>
      <c r="C446" s="10" t="n"/>
      <c r="D446" s="10" t="n"/>
      <c r="E446" s="10" t="n"/>
      <c r="F446" s="12" t="n"/>
      <c r="G446" s="13" t="n"/>
      <c r="H446" s="13" t="n"/>
      <c r="I446" s="13" t="n"/>
      <c r="J446" s="13" t="n"/>
      <c r="K446" s="13" t="n"/>
      <c r="L446" s="10" t="n"/>
      <c r="M446" s="10" t="n"/>
      <c r="N446" s="14">
        <f>IF(A446="","",WEEKNUM(A446,2))</f>
        <v/>
      </c>
      <c r="O446" s="15">
        <f>IF(OR(A446="",F446=""),"",LOOKUP(F446,Lists!$F$2:$F$5,Lists!$G$2:$G$5))</f>
        <v/>
      </c>
      <c r="P446" s="16">
        <f>IF(A446="","",SUM(H446:K446))</f>
        <v/>
      </c>
      <c r="Q446" s="17">
        <f>IF(A446="","",IFERROR(P446/G446,""))</f>
        <v/>
      </c>
      <c r="R446" s="14">
        <f>IF(OR(A446="",G446=""),"",COUNTIFS($N$2:$N$1000,"&gt;0",$G$2:$G$1000,"&gt;"&amp;G446)+COUNTIFS($N$2:N446,"&gt;0",$G$2:G446,G446))</f>
        <v/>
      </c>
    </row>
    <row r="447">
      <c r="A447" s="9" t="n"/>
      <c r="B447" s="10" t="n"/>
      <c r="C447" s="10" t="n"/>
      <c r="D447" s="10" t="n"/>
      <c r="E447" s="10" t="n"/>
      <c r="F447" s="12" t="n"/>
      <c r="G447" s="13" t="n"/>
      <c r="H447" s="13" t="n"/>
      <c r="I447" s="13" t="n"/>
      <c r="J447" s="13" t="n"/>
      <c r="K447" s="13" t="n"/>
      <c r="L447" s="10" t="n"/>
      <c r="M447" s="10" t="n"/>
      <c r="N447" s="14">
        <f>IF(A447="","",WEEKNUM(A447,2))</f>
        <v/>
      </c>
      <c r="O447" s="15">
        <f>IF(OR(A447="",F447=""),"",LOOKUP(F447,Lists!$F$2:$F$5,Lists!$G$2:$G$5))</f>
        <v/>
      </c>
      <c r="P447" s="16">
        <f>IF(A447="","",SUM(H447:K447))</f>
        <v/>
      </c>
      <c r="Q447" s="17">
        <f>IF(A447="","",IFERROR(P447/G447,""))</f>
        <v/>
      </c>
      <c r="R447" s="14">
        <f>IF(OR(A447="",G447=""),"",COUNTIFS($N$2:$N$1000,"&gt;0",$G$2:$G$1000,"&gt;"&amp;G447)+COUNTIFS($N$2:N447,"&gt;0",$G$2:G447,G447))</f>
        <v/>
      </c>
    </row>
    <row r="448">
      <c r="A448" s="9" t="n"/>
      <c r="B448" s="10" t="n"/>
      <c r="C448" s="10" t="n"/>
      <c r="D448" s="10" t="n"/>
      <c r="E448" s="10" t="n"/>
      <c r="F448" s="12" t="n"/>
      <c r="G448" s="13" t="n"/>
      <c r="H448" s="13" t="n"/>
      <c r="I448" s="13" t="n"/>
      <c r="J448" s="13" t="n"/>
      <c r="K448" s="13" t="n"/>
      <c r="L448" s="10" t="n"/>
      <c r="M448" s="10" t="n"/>
      <c r="N448" s="14">
        <f>IF(A448="","",WEEKNUM(A448,2))</f>
        <v/>
      </c>
      <c r="O448" s="15">
        <f>IF(OR(A448="",F448=""),"",LOOKUP(F448,Lists!$F$2:$F$5,Lists!$G$2:$G$5))</f>
        <v/>
      </c>
      <c r="P448" s="16">
        <f>IF(A448="","",SUM(H448:K448))</f>
        <v/>
      </c>
      <c r="Q448" s="17">
        <f>IF(A448="","",IFERROR(P448/G448,""))</f>
        <v/>
      </c>
      <c r="R448" s="14">
        <f>IF(OR(A448="",G448=""),"",COUNTIFS($N$2:$N$1000,"&gt;0",$G$2:$G$1000,"&gt;"&amp;G448)+COUNTIFS($N$2:N448,"&gt;0",$G$2:G448,G448))</f>
        <v/>
      </c>
    </row>
    <row r="449">
      <c r="A449" s="9" t="n"/>
      <c r="B449" s="10" t="n"/>
      <c r="C449" s="10" t="n"/>
      <c r="D449" s="10" t="n"/>
      <c r="E449" s="10" t="n"/>
      <c r="F449" s="12" t="n"/>
      <c r="G449" s="13" t="n"/>
      <c r="H449" s="13" t="n"/>
      <c r="I449" s="13" t="n"/>
      <c r="J449" s="13" t="n"/>
      <c r="K449" s="13" t="n"/>
      <c r="L449" s="10" t="n"/>
      <c r="M449" s="10" t="n"/>
      <c r="N449" s="14">
        <f>IF(A449="","",WEEKNUM(A449,2))</f>
        <v/>
      </c>
      <c r="O449" s="15">
        <f>IF(OR(A449="",F449=""),"",LOOKUP(F449,Lists!$F$2:$F$5,Lists!$G$2:$G$5))</f>
        <v/>
      </c>
      <c r="P449" s="16">
        <f>IF(A449="","",SUM(H449:K449))</f>
        <v/>
      </c>
      <c r="Q449" s="17">
        <f>IF(A449="","",IFERROR(P449/G449,""))</f>
        <v/>
      </c>
      <c r="R449" s="14">
        <f>IF(OR(A449="",G449=""),"",COUNTIFS($N$2:$N$1000,"&gt;0",$G$2:$G$1000,"&gt;"&amp;G449)+COUNTIFS($N$2:N449,"&gt;0",$G$2:G449,G449))</f>
        <v/>
      </c>
    </row>
    <row r="450">
      <c r="A450" s="9" t="n"/>
      <c r="B450" s="10" t="n"/>
      <c r="C450" s="10" t="n"/>
      <c r="D450" s="10" t="n"/>
      <c r="E450" s="10" t="n"/>
      <c r="F450" s="12" t="n"/>
      <c r="G450" s="13" t="n"/>
      <c r="H450" s="13" t="n"/>
      <c r="I450" s="13" t="n"/>
      <c r="J450" s="13" t="n"/>
      <c r="K450" s="13" t="n"/>
      <c r="L450" s="10" t="n"/>
      <c r="M450" s="10" t="n"/>
      <c r="N450" s="14">
        <f>IF(A450="","",WEEKNUM(A450,2))</f>
        <v/>
      </c>
      <c r="O450" s="15">
        <f>IF(OR(A450="",F450=""),"",LOOKUP(F450,Lists!$F$2:$F$5,Lists!$G$2:$G$5))</f>
        <v/>
      </c>
      <c r="P450" s="16">
        <f>IF(A450="","",SUM(H450:K450))</f>
        <v/>
      </c>
      <c r="Q450" s="17">
        <f>IF(A450="","",IFERROR(P450/G450,""))</f>
        <v/>
      </c>
      <c r="R450" s="14">
        <f>IF(OR(A450="",G450=""),"",COUNTIFS($N$2:$N$1000,"&gt;0",$G$2:$G$1000,"&gt;"&amp;G450)+COUNTIFS($N$2:N450,"&gt;0",$G$2:G450,G450))</f>
        <v/>
      </c>
    </row>
    <row r="451">
      <c r="A451" s="9" t="n"/>
      <c r="B451" s="10" t="n"/>
      <c r="C451" s="10" t="n"/>
      <c r="D451" s="10" t="n"/>
      <c r="E451" s="10" t="n"/>
      <c r="F451" s="12" t="n"/>
      <c r="G451" s="13" t="n"/>
      <c r="H451" s="13" t="n"/>
      <c r="I451" s="13" t="n"/>
      <c r="J451" s="13" t="n"/>
      <c r="K451" s="13" t="n"/>
      <c r="L451" s="10" t="n"/>
      <c r="M451" s="10" t="n"/>
      <c r="N451" s="14">
        <f>IF(A451="","",WEEKNUM(A451,2))</f>
        <v/>
      </c>
      <c r="O451" s="15">
        <f>IF(OR(A451="",F451=""),"",LOOKUP(F451,Lists!$F$2:$F$5,Lists!$G$2:$G$5))</f>
        <v/>
      </c>
      <c r="P451" s="16">
        <f>IF(A451="","",SUM(H451:K451))</f>
        <v/>
      </c>
      <c r="Q451" s="17">
        <f>IF(A451="","",IFERROR(P451/G451,""))</f>
        <v/>
      </c>
      <c r="R451" s="14">
        <f>IF(OR(A451="",G451=""),"",COUNTIFS($N$2:$N$1000,"&gt;0",$G$2:$G$1000,"&gt;"&amp;G451)+COUNTIFS($N$2:N451,"&gt;0",$G$2:G451,G451))</f>
        <v/>
      </c>
    </row>
    <row r="452">
      <c r="A452" s="9" t="n"/>
      <c r="B452" s="10" t="n"/>
      <c r="C452" s="10" t="n"/>
      <c r="D452" s="10" t="n"/>
      <c r="E452" s="10" t="n"/>
      <c r="F452" s="12" t="n"/>
      <c r="G452" s="13" t="n"/>
      <c r="H452" s="13" t="n"/>
      <c r="I452" s="13" t="n"/>
      <c r="J452" s="13" t="n"/>
      <c r="K452" s="13" t="n"/>
      <c r="L452" s="10" t="n"/>
      <c r="M452" s="10" t="n"/>
      <c r="N452" s="14">
        <f>IF(A452="","",WEEKNUM(A452,2))</f>
        <v/>
      </c>
      <c r="O452" s="15">
        <f>IF(OR(A452="",F452=""),"",LOOKUP(F452,Lists!$F$2:$F$5,Lists!$G$2:$G$5))</f>
        <v/>
      </c>
      <c r="P452" s="16">
        <f>IF(A452="","",SUM(H452:K452))</f>
        <v/>
      </c>
      <c r="Q452" s="17">
        <f>IF(A452="","",IFERROR(P452/G452,""))</f>
        <v/>
      </c>
      <c r="R452" s="14">
        <f>IF(OR(A452="",G452=""),"",COUNTIFS($N$2:$N$1000,"&gt;0",$G$2:$G$1000,"&gt;"&amp;G452)+COUNTIFS($N$2:N452,"&gt;0",$G$2:G452,G452))</f>
        <v/>
      </c>
    </row>
    <row r="453">
      <c r="A453" s="9" t="n"/>
      <c r="B453" s="10" t="n"/>
      <c r="C453" s="10" t="n"/>
      <c r="D453" s="10" t="n"/>
      <c r="E453" s="10" t="n"/>
      <c r="F453" s="12" t="n"/>
      <c r="G453" s="13" t="n"/>
      <c r="H453" s="13" t="n"/>
      <c r="I453" s="13" t="n"/>
      <c r="J453" s="13" t="n"/>
      <c r="K453" s="13" t="n"/>
      <c r="L453" s="10" t="n"/>
      <c r="M453" s="10" t="n"/>
      <c r="N453" s="14">
        <f>IF(A453="","",WEEKNUM(A453,2))</f>
        <v/>
      </c>
      <c r="O453" s="15">
        <f>IF(OR(A453="",F453=""),"",LOOKUP(F453,Lists!$F$2:$F$5,Lists!$G$2:$G$5))</f>
        <v/>
      </c>
      <c r="P453" s="16">
        <f>IF(A453="","",SUM(H453:K453))</f>
        <v/>
      </c>
      <c r="Q453" s="17">
        <f>IF(A453="","",IFERROR(P453/G453,""))</f>
        <v/>
      </c>
      <c r="R453" s="14">
        <f>IF(OR(A453="",G453=""),"",COUNTIFS($N$2:$N$1000,"&gt;0",$G$2:$G$1000,"&gt;"&amp;G453)+COUNTIFS($N$2:N453,"&gt;0",$G$2:G453,G453))</f>
        <v/>
      </c>
    </row>
    <row r="454">
      <c r="A454" s="9" t="n"/>
      <c r="B454" s="10" t="n"/>
      <c r="C454" s="10" t="n"/>
      <c r="D454" s="10" t="n"/>
      <c r="E454" s="10" t="n"/>
      <c r="F454" s="12" t="n"/>
      <c r="G454" s="13" t="n"/>
      <c r="H454" s="13" t="n"/>
      <c r="I454" s="13" t="n"/>
      <c r="J454" s="13" t="n"/>
      <c r="K454" s="13" t="n"/>
      <c r="L454" s="10" t="n"/>
      <c r="M454" s="10" t="n"/>
      <c r="N454" s="14">
        <f>IF(A454="","",WEEKNUM(A454,2))</f>
        <v/>
      </c>
      <c r="O454" s="15">
        <f>IF(OR(A454="",F454=""),"",LOOKUP(F454,Lists!$F$2:$F$5,Lists!$G$2:$G$5))</f>
        <v/>
      </c>
      <c r="P454" s="16">
        <f>IF(A454="","",SUM(H454:K454))</f>
        <v/>
      </c>
      <c r="Q454" s="17">
        <f>IF(A454="","",IFERROR(P454/G454,""))</f>
        <v/>
      </c>
      <c r="R454" s="14">
        <f>IF(OR(A454="",G454=""),"",COUNTIFS($N$2:$N$1000,"&gt;0",$G$2:$G$1000,"&gt;"&amp;G454)+COUNTIFS($N$2:N454,"&gt;0",$G$2:G454,G454))</f>
        <v/>
      </c>
    </row>
    <row r="455">
      <c r="A455" s="9" t="n"/>
      <c r="B455" s="10" t="n"/>
      <c r="C455" s="10" t="n"/>
      <c r="D455" s="10" t="n"/>
      <c r="E455" s="10" t="n"/>
      <c r="F455" s="12" t="n"/>
      <c r="G455" s="13" t="n"/>
      <c r="H455" s="13" t="n"/>
      <c r="I455" s="13" t="n"/>
      <c r="J455" s="13" t="n"/>
      <c r="K455" s="13" t="n"/>
      <c r="L455" s="10" t="n"/>
      <c r="M455" s="10" t="n"/>
      <c r="N455" s="14">
        <f>IF(A455="","",WEEKNUM(A455,2))</f>
        <v/>
      </c>
      <c r="O455" s="15">
        <f>IF(OR(A455="",F455=""),"",LOOKUP(F455,Lists!$F$2:$F$5,Lists!$G$2:$G$5))</f>
        <v/>
      </c>
      <c r="P455" s="16">
        <f>IF(A455="","",SUM(H455:K455))</f>
        <v/>
      </c>
      <c r="Q455" s="17">
        <f>IF(A455="","",IFERROR(P455/G455,""))</f>
        <v/>
      </c>
      <c r="R455" s="14">
        <f>IF(OR(A455="",G455=""),"",COUNTIFS($N$2:$N$1000,"&gt;0",$G$2:$G$1000,"&gt;"&amp;G455)+COUNTIFS($N$2:N455,"&gt;0",$G$2:G455,G455))</f>
        <v/>
      </c>
    </row>
    <row r="456">
      <c r="A456" s="9" t="n"/>
      <c r="B456" s="10" t="n"/>
      <c r="C456" s="10" t="n"/>
      <c r="D456" s="10" t="n"/>
      <c r="E456" s="10" t="n"/>
      <c r="F456" s="12" t="n"/>
      <c r="G456" s="13" t="n"/>
      <c r="H456" s="13" t="n"/>
      <c r="I456" s="13" t="n"/>
      <c r="J456" s="13" t="n"/>
      <c r="K456" s="13" t="n"/>
      <c r="L456" s="10" t="n"/>
      <c r="M456" s="10" t="n"/>
      <c r="N456" s="14">
        <f>IF(A456="","",WEEKNUM(A456,2))</f>
        <v/>
      </c>
      <c r="O456" s="15">
        <f>IF(OR(A456="",F456=""),"",LOOKUP(F456,Lists!$F$2:$F$5,Lists!$G$2:$G$5))</f>
        <v/>
      </c>
      <c r="P456" s="16">
        <f>IF(A456="","",SUM(H456:K456))</f>
        <v/>
      </c>
      <c r="Q456" s="17">
        <f>IF(A456="","",IFERROR(P456/G456,""))</f>
        <v/>
      </c>
      <c r="R456" s="14">
        <f>IF(OR(A456="",G456=""),"",COUNTIFS($N$2:$N$1000,"&gt;0",$G$2:$G$1000,"&gt;"&amp;G456)+COUNTIFS($N$2:N456,"&gt;0",$G$2:G456,G456))</f>
        <v/>
      </c>
    </row>
    <row r="457">
      <c r="A457" s="9" t="n"/>
      <c r="B457" s="10" t="n"/>
      <c r="C457" s="10" t="n"/>
      <c r="D457" s="10" t="n"/>
      <c r="E457" s="10" t="n"/>
      <c r="F457" s="12" t="n"/>
      <c r="G457" s="13" t="n"/>
      <c r="H457" s="13" t="n"/>
      <c r="I457" s="13" t="n"/>
      <c r="J457" s="13" t="n"/>
      <c r="K457" s="13" t="n"/>
      <c r="L457" s="10" t="n"/>
      <c r="M457" s="10" t="n"/>
      <c r="N457" s="14">
        <f>IF(A457="","",WEEKNUM(A457,2))</f>
        <v/>
      </c>
      <c r="O457" s="15">
        <f>IF(OR(A457="",F457=""),"",LOOKUP(F457,Lists!$F$2:$F$5,Lists!$G$2:$G$5))</f>
        <v/>
      </c>
      <c r="P457" s="16">
        <f>IF(A457="","",SUM(H457:K457))</f>
        <v/>
      </c>
      <c r="Q457" s="17">
        <f>IF(A457="","",IFERROR(P457/G457,""))</f>
        <v/>
      </c>
      <c r="R457" s="14">
        <f>IF(OR(A457="",G457=""),"",COUNTIFS($N$2:$N$1000,"&gt;0",$G$2:$G$1000,"&gt;"&amp;G457)+COUNTIFS($N$2:N457,"&gt;0",$G$2:G457,G457))</f>
        <v/>
      </c>
    </row>
    <row r="458">
      <c r="A458" s="9" t="n"/>
      <c r="B458" s="10" t="n"/>
      <c r="C458" s="10" t="n"/>
      <c r="D458" s="10" t="n"/>
      <c r="E458" s="10" t="n"/>
      <c r="F458" s="12" t="n"/>
      <c r="G458" s="13" t="n"/>
      <c r="H458" s="13" t="n"/>
      <c r="I458" s="13" t="n"/>
      <c r="J458" s="13" t="n"/>
      <c r="K458" s="13" t="n"/>
      <c r="L458" s="10" t="n"/>
      <c r="M458" s="10" t="n"/>
      <c r="N458" s="14">
        <f>IF(A458="","",WEEKNUM(A458,2))</f>
        <v/>
      </c>
      <c r="O458" s="15">
        <f>IF(OR(A458="",F458=""),"",LOOKUP(F458,Lists!$F$2:$F$5,Lists!$G$2:$G$5))</f>
        <v/>
      </c>
      <c r="P458" s="16">
        <f>IF(A458="","",SUM(H458:K458))</f>
        <v/>
      </c>
      <c r="Q458" s="17">
        <f>IF(A458="","",IFERROR(P458/G458,""))</f>
        <v/>
      </c>
      <c r="R458" s="14">
        <f>IF(OR(A458="",G458=""),"",COUNTIFS($N$2:$N$1000,"&gt;0",$G$2:$G$1000,"&gt;"&amp;G458)+COUNTIFS($N$2:N458,"&gt;0",$G$2:G458,G458))</f>
        <v/>
      </c>
    </row>
    <row r="459">
      <c r="A459" s="9" t="n"/>
      <c r="B459" s="10" t="n"/>
      <c r="C459" s="10" t="n"/>
      <c r="D459" s="10" t="n"/>
      <c r="E459" s="10" t="n"/>
      <c r="F459" s="12" t="n"/>
      <c r="G459" s="13" t="n"/>
      <c r="H459" s="13" t="n"/>
      <c r="I459" s="13" t="n"/>
      <c r="J459" s="13" t="n"/>
      <c r="K459" s="13" t="n"/>
      <c r="L459" s="10" t="n"/>
      <c r="M459" s="10" t="n"/>
      <c r="N459" s="14">
        <f>IF(A459="","",WEEKNUM(A459,2))</f>
        <v/>
      </c>
      <c r="O459" s="15">
        <f>IF(OR(A459="",F459=""),"",LOOKUP(F459,Lists!$F$2:$F$5,Lists!$G$2:$G$5))</f>
        <v/>
      </c>
      <c r="P459" s="16">
        <f>IF(A459="","",SUM(H459:K459))</f>
        <v/>
      </c>
      <c r="Q459" s="17">
        <f>IF(A459="","",IFERROR(P459/G459,""))</f>
        <v/>
      </c>
      <c r="R459" s="14">
        <f>IF(OR(A459="",G459=""),"",COUNTIFS($N$2:$N$1000,"&gt;0",$G$2:$G$1000,"&gt;"&amp;G459)+COUNTIFS($N$2:N459,"&gt;0",$G$2:G459,G459))</f>
        <v/>
      </c>
    </row>
    <row r="460">
      <c r="A460" s="9" t="n"/>
      <c r="B460" s="10" t="n"/>
      <c r="C460" s="10" t="n"/>
      <c r="D460" s="10" t="n"/>
      <c r="E460" s="10" t="n"/>
      <c r="F460" s="12" t="n"/>
      <c r="G460" s="13" t="n"/>
      <c r="H460" s="13" t="n"/>
      <c r="I460" s="13" t="n"/>
      <c r="J460" s="13" t="n"/>
      <c r="K460" s="13" t="n"/>
      <c r="L460" s="10" t="n"/>
      <c r="M460" s="10" t="n"/>
      <c r="N460" s="14">
        <f>IF(A460="","",WEEKNUM(A460,2))</f>
        <v/>
      </c>
      <c r="O460" s="15">
        <f>IF(OR(A460="",F460=""),"",LOOKUP(F460,Lists!$F$2:$F$5,Lists!$G$2:$G$5))</f>
        <v/>
      </c>
      <c r="P460" s="16">
        <f>IF(A460="","",SUM(H460:K460))</f>
        <v/>
      </c>
      <c r="Q460" s="17">
        <f>IF(A460="","",IFERROR(P460/G460,""))</f>
        <v/>
      </c>
      <c r="R460" s="14">
        <f>IF(OR(A460="",G460=""),"",COUNTIFS($N$2:$N$1000,"&gt;0",$G$2:$G$1000,"&gt;"&amp;G460)+COUNTIFS($N$2:N460,"&gt;0",$G$2:G460,G460))</f>
        <v/>
      </c>
    </row>
    <row r="461">
      <c r="A461" s="9" t="n"/>
      <c r="B461" s="10" t="n"/>
      <c r="C461" s="10" t="n"/>
      <c r="D461" s="10" t="n"/>
      <c r="E461" s="10" t="n"/>
      <c r="F461" s="12" t="n"/>
      <c r="G461" s="13" t="n"/>
      <c r="H461" s="13" t="n"/>
      <c r="I461" s="13" t="n"/>
      <c r="J461" s="13" t="n"/>
      <c r="K461" s="13" t="n"/>
      <c r="L461" s="10" t="n"/>
      <c r="M461" s="10" t="n"/>
      <c r="N461" s="14">
        <f>IF(A461="","",WEEKNUM(A461,2))</f>
        <v/>
      </c>
      <c r="O461" s="15">
        <f>IF(OR(A461="",F461=""),"",LOOKUP(F461,Lists!$F$2:$F$5,Lists!$G$2:$G$5))</f>
        <v/>
      </c>
      <c r="P461" s="16">
        <f>IF(A461="","",SUM(H461:K461))</f>
        <v/>
      </c>
      <c r="Q461" s="17">
        <f>IF(A461="","",IFERROR(P461/G461,""))</f>
        <v/>
      </c>
      <c r="R461" s="14">
        <f>IF(OR(A461="",G461=""),"",COUNTIFS($N$2:$N$1000,"&gt;0",$G$2:$G$1000,"&gt;"&amp;G461)+COUNTIFS($N$2:N461,"&gt;0",$G$2:G461,G461))</f>
        <v/>
      </c>
    </row>
    <row r="462">
      <c r="A462" s="9" t="n"/>
      <c r="B462" s="10" t="n"/>
      <c r="C462" s="10" t="n"/>
      <c r="D462" s="10" t="n"/>
      <c r="E462" s="10" t="n"/>
      <c r="F462" s="12" t="n"/>
      <c r="G462" s="13" t="n"/>
      <c r="H462" s="13" t="n"/>
      <c r="I462" s="13" t="n"/>
      <c r="J462" s="13" t="n"/>
      <c r="K462" s="13" t="n"/>
      <c r="L462" s="10" t="n"/>
      <c r="M462" s="10" t="n"/>
      <c r="N462" s="14">
        <f>IF(A462="","",WEEKNUM(A462,2))</f>
        <v/>
      </c>
      <c r="O462" s="15">
        <f>IF(OR(A462="",F462=""),"",LOOKUP(F462,Lists!$F$2:$F$5,Lists!$G$2:$G$5))</f>
        <v/>
      </c>
      <c r="P462" s="16">
        <f>IF(A462="","",SUM(H462:K462))</f>
        <v/>
      </c>
      <c r="Q462" s="17">
        <f>IF(A462="","",IFERROR(P462/G462,""))</f>
        <v/>
      </c>
      <c r="R462" s="14">
        <f>IF(OR(A462="",G462=""),"",COUNTIFS($N$2:$N$1000,"&gt;0",$G$2:$G$1000,"&gt;"&amp;G462)+COUNTIFS($N$2:N462,"&gt;0",$G$2:G462,G462))</f>
        <v/>
      </c>
    </row>
    <row r="463">
      <c r="A463" s="9" t="n"/>
      <c r="B463" s="10" t="n"/>
      <c r="C463" s="10" t="n"/>
      <c r="D463" s="10" t="n"/>
      <c r="E463" s="10" t="n"/>
      <c r="F463" s="12" t="n"/>
      <c r="G463" s="13" t="n"/>
      <c r="H463" s="13" t="n"/>
      <c r="I463" s="13" t="n"/>
      <c r="J463" s="13" t="n"/>
      <c r="K463" s="13" t="n"/>
      <c r="L463" s="10" t="n"/>
      <c r="M463" s="10" t="n"/>
      <c r="N463" s="14">
        <f>IF(A463="","",WEEKNUM(A463,2))</f>
        <v/>
      </c>
      <c r="O463" s="15">
        <f>IF(OR(A463="",F463=""),"",LOOKUP(F463,Lists!$F$2:$F$5,Lists!$G$2:$G$5))</f>
        <v/>
      </c>
      <c r="P463" s="16">
        <f>IF(A463="","",SUM(H463:K463))</f>
        <v/>
      </c>
      <c r="Q463" s="17">
        <f>IF(A463="","",IFERROR(P463/G463,""))</f>
        <v/>
      </c>
      <c r="R463" s="14">
        <f>IF(OR(A463="",G463=""),"",COUNTIFS($N$2:$N$1000,"&gt;0",$G$2:$G$1000,"&gt;"&amp;G463)+COUNTIFS($N$2:N463,"&gt;0",$G$2:G463,G463))</f>
        <v/>
      </c>
    </row>
    <row r="464">
      <c r="A464" s="9" t="n"/>
      <c r="B464" s="10" t="n"/>
      <c r="C464" s="10" t="n"/>
      <c r="D464" s="10" t="n"/>
      <c r="E464" s="10" t="n"/>
      <c r="F464" s="12" t="n"/>
      <c r="G464" s="13" t="n"/>
      <c r="H464" s="13" t="n"/>
      <c r="I464" s="13" t="n"/>
      <c r="J464" s="13" t="n"/>
      <c r="K464" s="13" t="n"/>
      <c r="L464" s="10" t="n"/>
      <c r="M464" s="10" t="n"/>
      <c r="N464" s="14">
        <f>IF(A464="","",WEEKNUM(A464,2))</f>
        <v/>
      </c>
      <c r="O464" s="15">
        <f>IF(OR(A464="",F464=""),"",LOOKUP(F464,Lists!$F$2:$F$5,Lists!$G$2:$G$5))</f>
        <v/>
      </c>
      <c r="P464" s="16">
        <f>IF(A464="","",SUM(H464:K464))</f>
        <v/>
      </c>
      <c r="Q464" s="17">
        <f>IF(A464="","",IFERROR(P464/G464,""))</f>
        <v/>
      </c>
      <c r="R464" s="14">
        <f>IF(OR(A464="",G464=""),"",COUNTIFS($N$2:$N$1000,"&gt;0",$G$2:$G$1000,"&gt;"&amp;G464)+COUNTIFS($N$2:N464,"&gt;0",$G$2:G464,G464))</f>
        <v/>
      </c>
    </row>
    <row r="465">
      <c r="A465" s="9" t="n"/>
      <c r="B465" s="10" t="n"/>
      <c r="C465" s="10" t="n"/>
      <c r="D465" s="10" t="n"/>
      <c r="E465" s="10" t="n"/>
      <c r="F465" s="12" t="n"/>
      <c r="G465" s="13" t="n"/>
      <c r="H465" s="13" t="n"/>
      <c r="I465" s="13" t="n"/>
      <c r="J465" s="13" t="n"/>
      <c r="K465" s="13" t="n"/>
      <c r="L465" s="10" t="n"/>
      <c r="M465" s="10" t="n"/>
      <c r="N465" s="14">
        <f>IF(A465="","",WEEKNUM(A465,2))</f>
        <v/>
      </c>
      <c r="O465" s="15">
        <f>IF(OR(A465="",F465=""),"",LOOKUP(F465,Lists!$F$2:$F$5,Lists!$G$2:$G$5))</f>
        <v/>
      </c>
      <c r="P465" s="16">
        <f>IF(A465="","",SUM(H465:K465))</f>
        <v/>
      </c>
      <c r="Q465" s="17">
        <f>IF(A465="","",IFERROR(P465/G465,""))</f>
        <v/>
      </c>
      <c r="R465" s="14">
        <f>IF(OR(A465="",G465=""),"",COUNTIFS($N$2:$N$1000,"&gt;0",$G$2:$G$1000,"&gt;"&amp;G465)+COUNTIFS($N$2:N465,"&gt;0",$G$2:G465,G465))</f>
        <v/>
      </c>
    </row>
    <row r="466">
      <c r="A466" s="9" t="n"/>
      <c r="B466" s="10" t="n"/>
      <c r="C466" s="10" t="n"/>
      <c r="D466" s="10" t="n"/>
      <c r="E466" s="10" t="n"/>
      <c r="F466" s="12" t="n"/>
      <c r="G466" s="13" t="n"/>
      <c r="H466" s="13" t="n"/>
      <c r="I466" s="13" t="n"/>
      <c r="J466" s="13" t="n"/>
      <c r="K466" s="13" t="n"/>
      <c r="L466" s="10" t="n"/>
      <c r="M466" s="10" t="n"/>
      <c r="N466" s="14">
        <f>IF(A466="","",WEEKNUM(A466,2))</f>
        <v/>
      </c>
      <c r="O466" s="15">
        <f>IF(OR(A466="",F466=""),"",LOOKUP(F466,Lists!$F$2:$F$5,Lists!$G$2:$G$5))</f>
        <v/>
      </c>
      <c r="P466" s="16">
        <f>IF(A466="","",SUM(H466:K466))</f>
        <v/>
      </c>
      <c r="Q466" s="17">
        <f>IF(A466="","",IFERROR(P466/G466,""))</f>
        <v/>
      </c>
      <c r="R466" s="14">
        <f>IF(OR(A466="",G466=""),"",COUNTIFS($N$2:$N$1000,"&gt;0",$G$2:$G$1000,"&gt;"&amp;G466)+COUNTIFS($N$2:N466,"&gt;0",$G$2:G466,G466))</f>
        <v/>
      </c>
    </row>
    <row r="467">
      <c r="A467" s="9" t="n"/>
      <c r="B467" s="10" t="n"/>
      <c r="C467" s="10" t="n"/>
      <c r="D467" s="10" t="n"/>
      <c r="E467" s="10" t="n"/>
      <c r="F467" s="12" t="n"/>
      <c r="G467" s="13" t="n"/>
      <c r="H467" s="13" t="n"/>
      <c r="I467" s="13" t="n"/>
      <c r="J467" s="13" t="n"/>
      <c r="K467" s="13" t="n"/>
      <c r="L467" s="10" t="n"/>
      <c r="M467" s="10" t="n"/>
      <c r="N467" s="14">
        <f>IF(A467="","",WEEKNUM(A467,2))</f>
        <v/>
      </c>
      <c r="O467" s="15">
        <f>IF(OR(A467="",F467=""),"",LOOKUP(F467,Lists!$F$2:$F$5,Lists!$G$2:$G$5))</f>
        <v/>
      </c>
      <c r="P467" s="16">
        <f>IF(A467="","",SUM(H467:K467))</f>
        <v/>
      </c>
      <c r="Q467" s="17">
        <f>IF(A467="","",IFERROR(P467/G467,""))</f>
        <v/>
      </c>
      <c r="R467" s="14">
        <f>IF(OR(A467="",G467=""),"",COUNTIFS($N$2:$N$1000,"&gt;0",$G$2:$G$1000,"&gt;"&amp;G467)+COUNTIFS($N$2:N467,"&gt;0",$G$2:G467,G467))</f>
        <v/>
      </c>
    </row>
    <row r="468">
      <c r="A468" s="9" t="n"/>
      <c r="B468" s="10" t="n"/>
      <c r="C468" s="10" t="n"/>
      <c r="D468" s="10" t="n"/>
      <c r="E468" s="10" t="n"/>
      <c r="F468" s="12" t="n"/>
      <c r="G468" s="13" t="n"/>
      <c r="H468" s="13" t="n"/>
      <c r="I468" s="13" t="n"/>
      <c r="J468" s="13" t="n"/>
      <c r="K468" s="13" t="n"/>
      <c r="L468" s="10" t="n"/>
      <c r="M468" s="10" t="n"/>
      <c r="N468" s="14">
        <f>IF(A468="","",WEEKNUM(A468,2))</f>
        <v/>
      </c>
      <c r="O468" s="15">
        <f>IF(OR(A468="",F468=""),"",LOOKUP(F468,Lists!$F$2:$F$5,Lists!$G$2:$G$5))</f>
        <v/>
      </c>
      <c r="P468" s="16">
        <f>IF(A468="","",SUM(H468:K468))</f>
        <v/>
      </c>
      <c r="Q468" s="17">
        <f>IF(A468="","",IFERROR(P468/G468,""))</f>
        <v/>
      </c>
      <c r="R468" s="14">
        <f>IF(OR(A468="",G468=""),"",COUNTIFS($N$2:$N$1000,"&gt;0",$G$2:$G$1000,"&gt;"&amp;G468)+COUNTIFS($N$2:N468,"&gt;0",$G$2:G468,G468))</f>
        <v/>
      </c>
    </row>
    <row r="469">
      <c r="A469" s="9" t="n"/>
      <c r="B469" s="10" t="n"/>
      <c r="C469" s="10" t="n"/>
      <c r="D469" s="10" t="n"/>
      <c r="E469" s="10" t="n"/>
      <c r="F469" s="12" t="n"/>
      <c r="G469" s="13" t="n"/>
      <c r="H469" s="13" t="n"/>
      <c r="I469" s="13" t="n"/>
      <c r="J469" s="13" t="n"/>
      <c r="K469" s="13" t="n"/>
      <c r="L469" s="10" t="n"/>
      <c r="M469" s="10" t="n"/>
      <c r="N469" s="14">
        <f>IF(A469="","",WEEKNUM(A469,2))</f>
        <v/>
      </c>
      <c r="O469" s="15">
        <f>IF(OR(A469="",F469=""),"",LOOKUP(F469,Lists!$F$2:$F$5,Lists!$G$2:$G$5))</f>
        <v/>
      </c>
      <c r="P469" s="16">
        <f>IF(A469="","",SUM(H469:K469))</f>
        <v/>
      </c>
      <c r="Q469" s="17">
        <f>IF(A469="","",IFERROR(P469/G469,""))</f>
        <v/>
      </c>
      <c r="R469" s="14">
        <f>IF(OR(A469="",G469=""),"",COUNTIFS($N$2:$N$1000,"&gt;0",$G$2:$G$1000,"&gt;"&amp;G469)+COUNTIFS($N$2:N469,"&gt;0",$G$2:G469,G469))</f>
        <v/>
      </c>
    </row>
    <row r="470">
      <c r="A470" s="9" t="n"/>
      <c r="B470" s="10" t="n"/>
      <c r="C470" s="10" t="n"/>
      <c r="D470" s="10" t="n"/>
      <c r="E470" s="10" t="n"/>
      <c r="F470" s="12" t="n"/>
      <c r="G470" s="13" t="n"/>
      <c r="H470" s="13" t="n"/>
      <c r="I470" s="13" t="n"/>
      <c r="J470" s="13" t="n"/>
      <c r="K470" s="13" t="n"/>
      <c r="L470" s="10" t="n"/>
      <c r="M470" s="10" t="n"/>
      <c r="N470" s="14">
        <f>IF(A470="","",WEEKNUM(A470,2))</f>
        <v/>
      </c>
      <c r="O470" s="15">
        <f>IF(OR(A470="",F470=""),"",LOOKUP(F470,Lists!$F$2:$F$5,Lists!$G$2:$G$5))</f>
        <v/>
      </c>
      <c r="P470" s="16">
        <f>IF(A470="","",SUM(H470:K470))</f>
        <v/>
      </c>
      <c r="Q470" s="17">
        <f>IF(A470="","",IFERROR(P470/G470,""))</f>
        <v/>
      </c>
      <c r="R470" s="14">
        <f>IF(OR(A470="",G470=""),"",COUNTIFS($N$2:$N$1000,"&gt;0",$G$2:$G$1000,"&gt;"&amp;G470)+COUNTIFS($N$2:N470,"&gt;0",$G$2:G470,G470))</f>
        <v/>
      </c>
    </row>
    <row r="471">
      <c r="A471" s="9" t="n"/>
      <c r="B471" s="10" t="n"/>
      <c r="C471" s="10" t="n"/>
      <c r="D471" s="10" t="n"/>
      <c r="E471" s="10" t="n"/>
      <c r="F471" s="12" t="n"/>
      <c r="G471" s="13" t="n"/>
      <c r="H471" s="13" t="n"/>
      <c r="I471" s="13" t="n"/>
      <c r="J471" s="13" t="n"/>
      <c r="K471" s="13" t="n"/>
      <c r="L471" s="10" t="n"/>
      <c r="M471" s="10" t="n"/>
      <c r="N471" s="14">
        <f>IF(A471="","",WEEKNUM(A471,2))</f>
        <v/>
      </c>
      <c r="O471" s="15">
        <f>IF(OR(A471="",F471=""),"",LOOKUP(F471,Lists!$F$2:$F$5,Lists!$G$2:$G$5))</f>
        <v/>
      </c>
      <c r="P471" s="16">
        <f>IF(A471="","",SUM(H471:K471))</f>
        <v/>
      </c>
      <c r="Q471" s="17">
        <f>IF(A471="","",IFERROR(P471/G471,""))</f>
        <v/>
      </c>
      <c r="R471" s="14">
        <f>IF(OR(A471="",G471=""),"",COUNTIFS($N$2:$N$1000,"&gt;0",$G$2:$G$1000,"&gt;"&amp;G471)+COUNTIFS($N$2:N471,"&gt;0",$G$2:G471,G471))</f>
        <v/>
      </c>
    </row>
    <row r="472">
      <c r="A472" s="9" t="n"/>
      <c r="B472" s="10" t="n"/>
      <c r="C472" s="10" t="n"/>
      <c r="D472" s="10" t="n"/>
      <c r="E472" s="10" t="n"/>
      <c r="F472" s="12" t="n"/>
      <c r="G472" s="13" t="n"/>
      <c r="H472" s="13" t="n"/>
      <c r="I472" s="13" t="n"/>
      <c r="J472" s="13" t="n"/>
      <c r="K472" s="13" t="n"/>
      <c r="L472" s="10" t="n"/>
      <c r="M472" s="10" t="n"/>
      <c r="N472" s="14">
        <f>IF(A472="","",WEEKNUM(A472,2))</f>
        <v/>
      </c>
      <c r="O472" s="15">
        <f>IF(OR(A472="",F472=""),"",LOOKUP(F472,Lists!$F$2:$F$5,Lists!$G$2:$G$5))</f>
        <v/>
      </c>
      <c r="P472" s="16">
        <f>IF(A472="","",SUM(H472:K472))</f>
        <v/>
      </c>
      <c r="Q472" s="17">
        <f>IF(A472="","",IFERROR(P472/G472,""))</f>
        <v/>
      </c>
      <c r="R472" s="14">
        <f>IF(OR(A472="",G472=""),"",COUNTIFS($N$2:$N$1000,"&gt;0",$G$2:$G$1000,"&gt;"&amp;G472)+COUNTIFS($N$2:N472,"&gt;0",$G$2:G472,G472))</f>
        <v/>
      </c>
    </row>
    <row r="473">
      <c r="A473" s="9" t="n"/>
      <c r="B473" s="10" t="n"/>
      <c r="C473" s="10" t="n"/>
      <c r="D473" s="10" t="n"/>
      <c r="E473" s="10" t="n"/>
      <c r="F473" s="12" t="n"/>
      <c r="G473" s="13" t="n"/>
      <c r="H473" s="13" t="n"/>
      <c r="I473" s="13" t="n"/>
      <c r="J473" s="13" t="n"/>
      <c r="K473" s="13" t="n"/>
      <c r="L473" s="10" t="n"/>
      <c r="M473" s="10" t="n"/>
      <c r="N473" s="14">
        <f>IF(A473="","",WEEKNUM(A473,2))</f>
        <v/>
      </c>
      <c r="O473" s="15">
        <f>IF(OR(A473="",F473=""),"",LOOKUP(F473,Lists!$F$2:$F$5,Lists!$G$2:$G$5))</f>
        <v/>
      </c>
      <c r="P473" s="16">
        <f>IF(A473="","",SUM(H473:K473))</f>
        <v/>
      </c>
      <c r="Q473" s="17">
        <f>IF(A473="","",IFERROR(P473/G473,""))</f>
        <v/>
      </c>
      <c r="R473" s="14">
        <f>IF(OR(A473="",G473=""),"",COUNTIFS($N$2:$N$1000,"&gt;0",$G$2:$G$1000,"&gt;"&amp;G473)+COUNTIFS($N$2:N473,"&gt;0",$G$2:G473,G473))</f>
        <v/>
      </c>
    </row>
    <row r="474">
      <c r="A474" s="9" t="n"/>
      <c r="B474" s="10" t="n"/>
      <c r="C474" s="10" t="n"/>
      <c r="D474" s="10" t="n"/>
      <c r="E474" s="10" t="n"/>
      <c r="F474" s="12" t="n"/>
      <c r="G474" s="13" t="n"/>
      <c r="H474" s="13" t="n"/>
      <c r="I474" s="13" t="n"/>
      <c r="J474" s="13" t="n"/>
      <c r="K474" s="13" t="n"/>
      <c r="L474" s="10" t="n"/>
      <c r="M474" s="10" t="n"/>
      <c r="N474" s="14">
        <f>IF(A474="","",WEEKNUM(A474,2))</f>
        <v/>
      </c>
      <c r="O474" s="15">
        <f>IF(OR(A474="",F474=""),"",LOOKUP(F474,Lists!$F$2:$F$5,Lists!$G$2:$G$5))</f>
        <v/>
      </c>
      <c r="P474" s="16">
        <f>IF(A474="","",SUM(H474:K474))</f>
        <v/>
      </c>
      <c r="Q474" s="17">
        <f>IF(A474="","",IFERROR(P474/G474,""))</f>
        <v/>
      </c>
      <c r="R474" s="14">
        <f>IF(OR(A474="",G474=""),"",COUNTIFS($N$2:$N$1000,"&gt;0",$G$2:$G$1000,"&gt;"&amp;G474)+COUNTIFS($N$2:N474,"&gt;0",$G$2:G474,G474))</f>
        <v/>
      </c>
    </row>
    <row r="475">
      <c r="A475" s="9" t="n"/>
      <c r="B475" s="10" t="n"/>
      <c r="C475" s="10" t="n"/>
      <c r="D475" s="10" t="n"/>
      <c r="E475" s="10" t="n"/>
      <c r="F475" s="12" t="n"/>
      <c r="G475" s="13" t="n"/>
      <c r="H475" s="13" t="n"/>
      <c r="I475" s="13" t="n"/>
      <c r="J475" s="13" t="n"/>
      <c r="K475" s="13" t="n"/>
      <c r="L475" s="10" t="n"/>
      <c r="M475" s="10" t="n"/>
      <c r="N475" s="14">
        <f>IF(A475="","",WEEKNUM(A475,2))</f>
        <v/>
      </c>
      <c r="O475" s="15">
        <f>IF(OR(A475="",F475=""),"",LOOKUP(F475,Lists!$F$2:$F$5,Lists!$G$2:$G$5))</f>
        <v/>
      </c>
      <c r="P475" s="16">
        <f>IF(A475="","",SUM(H475:K475))</f>
        <v/>
      </c>
      <c r="Q475" s="17">
        <f>IF(A475="","",IFERROR(P475/G475,""))</f>
        <v/>
      </c>
      <c r="R475" s="14">
        <f>IF(OR(A475="",G475=""),"",COUNTIFS($N$2:$N$1000,"&gt;0",$G$2:$G$1000,"&gt;"&amp;G475)+COUNTIFS($N$2:N475,"&gt;0",$G$2:G475,G475))</f>
        <v/>
      </c>
    </row>
    <row r="476">
      <c r="A476" s="9" t="n"/>
      <c r="B476" s="10" t="n"/>
      <c r="C476" s="10" t="n"/>
      <c r="D476" s="10" t="n"/>
      <c r="E476" s="10" t="n"/>
      <c r="F476" s="12" t="n"/>
      <c r="G476" s="13" t="n"/>
      <c r="H476" s="13" t="n"/>
      <c r="I476" s="13" t="n"/>
      <c r="J476" s="13" t="n"/>
      <c r="K476" s="13" t="n"/>
      <c r="L476" s="10" t="n"/>
      <c r="M476" s="10" t="n"/>
      <c r="N476" s="14">
        <f>IF(A476="","",WEEKNUM(A476,2))</f>
        <v/>
      </c>
      <c r="O476" s="15">
        <f>IF(OR(A476="",F476=""),"",LOOKUP(F476,Lists!$F$2:$F$5,Lists!$G$2:$G$5))</f>
        <v/>
      </c>
      <c r="P476" s="16">
        <f>IF(A476="","",SUM(H476:K476))</f>
        <v/>
      </c>
      <c r="Q476" s="17">
        <f>IF(A476="","",IFERROR(P476/G476,""))</f>
        <v/>
      </c>
      <c r="R476" s="14">
        <f>IF(OR(A476="",G476=""),"",COUNTIFS($N$2:$N$1000,"&gt;0",$G$2:$G$1000,"&gt;"&amp;G476)+COUNTIFS($N$2:N476,"&gt;0",$G$2:G476,G476))</f>
        <v/>
      </c>
    </row>
    <row r="477">
      <c r="A477" s="9" t="n"/>
      <c r="B477" s="10" t="n"/>
      <c r="C477" s="10" t="n"/>
      <c r="D477" s="10" t="n"/>
      <c r="E477" s="10" t="n"/>
      <c r="F477" s="12" t="n"/>
      <c r="G477" s="13" t="n"/>
      <c r="H477" s="13" t="n"/>
      <c r="I477" s="13" t="n"/>
      <c r="J477" s="13" t="n"/>
      <c r="K477" s="13" t="n"/>
      <c r="L477" s="10" t="n"/>
      <c r="M477" s="10" t="n"/>
      <c r="N477" s="14">
        <f>IF(A477="","",WEEKNUM(A477,2))</f>
        <v/>
      </c>
      <c r="O477" s="15">
        <f>IF(OR(A477="",F477=""),"",LOOKUP(F477,Lists!$F$2:$F$5,Lists!$G$2:$G$5))</f>
        <v/>
      </c>
      <c r="P477" s="16">
        <f>IF(A477="","",SUM(H477:K477))</f>
        <v/>
      </c>
      <c r="Q477" s="17">
        <f>IF(A477="","",IFERROR(P477/G477,""))</f>
        <v/>
      </c>
      <c r="R477" s="14">
        <f>IF(OR(A477="",G477=""),"",COUNTIFS($N$2:$N$1000,"&gt;0",$G$2:$G$1000,"&gt;"&amp;G477)+COUNTIFS($N$2:N477,"&gt;0",$G$2:G477,G477))</f>
        <v/>
      </c>
    </row>
    <row r="478">
      <c r="A478" s="9" t="n"/>
      <c r="B478" s="10" t="n"/>
      <c r="C478" s="10" t="n"/>
      <c r="D478" s="10" t="n"/>
      <c r="E478" s="10" t="n"/>
      <c r="F478" s="12" t="n"/>
      <c r="G478" s="13" t="n"/>
      <c r="H478" s="13" t="n"/>
      <c r="I478" s="13" t="n"/>
      <c r="J478" s="13" t="n"/>
      <c r="K478" s="13" t="n"/>
      <c r="L478" s="10" t="n"/>
      <c r="M478" s="10" t="n"/>
      <c r="N478" s="14">
        <f>IF(A478="","",WEEKNUM(A478,2))</f>
        <v/>
      </c>
      <c r="O478" s="15">
        <f>IF(OR(A478="",F478=""),"",LOOKUP(F478,Lists!$F$2:$F$5,Lists!$G$2:$G$5))</f>
        <v/>
      </c>
      <c r="P478" s="16">
        <f>IF(A478="","",SUM(H478:K478))</f>
        <v/>
      </c>
      <c r="Q478" s="17">
        <f>IF(A478="","",IFERROR(P478/G478,""))</f>
        <v/>
      </c>
      <c r="R478" s="14">
        <f>IF(OR(A478="",G478=""),"",COUNTIFS($N$2:$N$1000,"&gt;0",$G$2:$G$1000,"&gt;"&amp;G478)+COUNTIFS($N$2:N478,"&gt;0",$G$2:G478,G478))</f>
        <v/>
      </c>
    </row>
    <row r="479">
      <c r="A479" s="9" t="n"/>
      <c r="B479" s="10" t="n"/>
      <c r="C479" s="10" t="n"/>
      <c r="D479" s="10" t="n"/>
      <c r="E479" s="10" t="n"/>
      <c r="F479" s="12" t="n"/>
      <c r="G479" s="13" t="n"/>
      <c r="H479" s="13" t="n"/>
      <c r="I479" s="13" t="n"/>
      <c r="J479" s="13" t="n"/>
      <c r="K479" s="13" t="n"/>
      <c r="L479" s="10" t="n"/>
      <c r="M479" s="10" t="n"/>
      <c r="N479" s="14">
        <f>IF(A479="","",WEEKNUM(A479,2))</f>
        <v/>
      </c>
      <c r="O479" s="15">
        <f>IF(OR(A479="",F479=""),"",LOOKUP(F479,Lists!$F$2:$F$5,Lists!$G$2:$G$5))</f>
        <v/>
      </c>
      <c r="P479" s="16">
        <f>IF(A479="","",SUM(H479:K479))</f>
        <v/>
      </c>
      <c r="Q479" s="17">
        <f>IF(A479="","",IFERROR(P479/G479,""))</f>
        <v/>
      </c>
      <c r="R479" s="14">
        <f>IF(OR(A479="",G479=""),"",COUNTIFS($N$2:$N$1000,"&gt;0",$G$2:$G$1000,"&gt;"&amp;G479)+COUNTIFS($N$2:N479,"&gt;0",$G$2:G479,G479))</f>
        <v/>
      </c>
    </row>
    <row r="480">
      <c r="A480" s="9" t="n"/>
      <c r="B480" s="10" t="n"/>
      <c r="C480" s="10" t="n"/>
      <c r="D480" s="10" t="n"/>
      <c r="E480" s="10" t="n"/>
      <c r="F480" s="12" t="n"/>
      <c r="G480" s="13" t="n"/>
      <c r="H480" s="13" t="n"/>
      <c r="I480" s="13" t="n"/>
      <c r="J480" s="13" t="n"/>
      <c r="K480" s="13" t="n"/>
      <c r="L480" s="10" t="n"/>
      <c r="M480" s="10" t="n"/>
      <c r="N480" s="14">
        <f>IF(A480="","",WEEKNUM(A480,2))</f>
        <v/>
      </c>
      <c r="O480" s="15">
        <f>IF(OR(A480="",F480=""),"",LOOKUP(F480,Lists!$F$2:$F$5,Lists!$G$2:$G$5))</f>
        <v/>
      </c>
      <c r="P480" s="16">
        <f>IF(A480="","",SUM(H480:K480))</f>
        <v/>
      </c>
      <c r="Q480" s="17">
        <f>IF(A480="","",IFERROR(P480/G480,""))</f>
        <v/>
      </c>
      <c r="R480" s="14">
        <f>IF(OR(A480="",G480=""),"",COUNTIFS($N$2:$N$1000,"&gt;0",$G$2:$G$1000,"&gt;"&amp;G480)+COUNTIFS($N$2:N480,"&gt;0",$G$2:G480,G480))</f>
        <v/>
      </c>
    </row>
    <row r="481">
      <c r="A481" s="9" t="n"/>
      <c r="B481" s="10" t="n"/>
      <c r="C481" s="10" t="n"/>
      <c r="D481" s="10" t="n"/>
      <c r="E481" s="10" t="n"/>
      <c r="F481" s="12" t="n"/>
      <c r="G481" s="13" t="n"/>
      <c r="H481" s="13" t="n"/>
      <c r="I481" s="13" t="n"/>
      <c r="J481" s="13" t="n"/>
      <c r="K481" s="13" t="n"/>
      <c r="L481" s="10" t="n"/>
      <c r="M481" s="10" t="n"/>
      <c r="N481" s="14">
        <f>IF(A481="","",WEEKNUM(A481,2))</f>
        <v/>
      </c>
      <c r="O481" s="15">
        <f>IF(OR(A481="",F481=""),"",LOOKUP(F481,Lists!$F$2:$F$5,Lists!$G$2:$G$5))</f>
        <v/>
      </c>
      <c r="P481" s="16">
        <f>IF(A481="","",SUM(H481:K481))</f>
        <v/>
      </c>
      <c r="Q481" s="17">
        <f>IF(A481="","",IFERROR(P481/G481,""))</f>
        <v/>
      </c>
      <c r="R481" s="14">
        <f>IF(OR(A481="",G481=""),"",COUNTIFS($N$2:$N$1000,"&gt;0",$G$2:$G$1000,"&gt;"&amp;G481)+COUNTIFS($N$2:N481,"&gt;0",$G$2:G481,G481))</f>
        <v/>
      </c>
    </row>
    <row r="482">
      <c r="A482" s="9" t="n"/>
      <c r="B482" s="10" t="n"/>
      <c r="C482" s="10" t="n"/>
      <c r="D482" s="10" t="n"/>
      <c r="E482" s="10" t="n"/>
      <c r="F482" s="12" t="n"/>
      <c r="G482" s="13" t="n"/>
      <c r="H482" s="13" t="n"/>
      <c r="I482" s="13" t="n"/>
      <c r="J482" s="13" t="n"/>
      <c r="K482" s="13" t="n"/>
      <c r="L482" s="10" t="n"/>
      <c r="M482" s="10" t="n"/>
      <c r="N482" s="14">
        <f>IF(A482="","",WEEKNUM(A482,2))</f>
        <v/>
      </c>
      <c r="O482" s="15">
        <f>IF(OR(A482="",F482=""),"",LOOKUP(F482,Lists!$F$2:$F$5,Lists!$G$2:$G$5))</f>
        <v/>
      </c>
      <c r="P482" s="16">
        <f>IF(A482="","",SUM(H482:K482))</f>
        <v/>
      </c>
      <c r="Q482" s="17">
        <f>IF(A482="","",IFERROR(P482/G482,""))</f>
        <v/>
      </c>
      <c r="R482" s="14">
        <f>IF(OR(A482="",G482=""),"",COUNTIFS($N$2:$N$1000,"&gt;0",$G$2:$G$1000,"&gt;"&amp;G482)+COUNTIFS($N$2:N482,"&gt;0",$G$2:G482,G482))</f>
        <v/>
      </c>
    </row>
    <row r="483">
      <c r="A483" s="9" t="n"/>
      <c r="B483" s="10" t="n"/>
      <c r="C483" s="10" t="n"/>
      <c r="D483" s="10" t="n"/>
      <c r="E483" s="10" t="n"/>
      <c r="F483" s="12" t="n"/>
      <c r="G483" s="13" t="n"/>
      <c r="H483" s="13" t="n"/>
      <c r="I483" s="13" t="n"/>
      <c r="J483" s="13" t="n"/>
      <c r="K483" s="13" t="n"/>
      <c r="L483" s="10" t="n"/>
      <c r="M483" s="10" t="n"/>
      <c r="N483" s="14">
        <f>IF(A483="","",WEEKNUM(A483,2))</f>
        <v/>
      </c>
      <c r="O483" s="15">
        <f>IF(OR(A483="",F483=""),"",LOOKUP(F483,Lists!$F$2:$F$5,Lists!$G$2:$G$5))</f>
        <v/>
      </c>
      <c r="P483" s="16">
        <f>IF(A483="","",SUM(H483:K483))</f>
        <v/>
      </c>
      <c r="Q483" s="17">
        <f>IF(A483="","",IFERROR(P483/G483,""))</f>
        <v/>
      </c>
      <c r="R483" s="14">
        <f>IF(OR(A483="",G483=""),"",COUNTIFS($N$2:$N$1000,"&gt;0",$G$2:$G$1000,"&gt;"&amp;G483)+COUNTIFS($N$2:N483,"&gt;0",$G$2:G483,G483))</f>
        <v/>
      </c>
    </row>
    <row r="484">
      <c r="A484" s="9" t="n"/>
      <c r="B484" s="10" t="n"/>
      <c r="C484" s="10" t="n"/>
      <c r="D484" s="10" t="n"/>
      <c r="E484" s="10" t="n"/>
      <c r="F484" s="12" t="n"/>
      <c r="G484" s="13" t="n"/>
      <c r="H484" s="13" t="n"/>
      <c r="I484" s="13" t="n"/>
      <c r="J484" s="13" t="n"/>
      <c r="K484" s="13" t="n"/>
      <c r="L484" s="10" t="n"/>
      <c r="M484" s="10" t="n"/>
      <c r="N484" s="14">
        <f>IF(A484="","",WEEKNUM(A484,2))</f>
        <v/>
      </c>
      <c r="O484" s="15">
        <f>IF(OR(A484="",F484=""),"",LOOKUP(F484,Lists!$F$2:$F$5,Lists!$G$2:$G$5))</f>
        <v/>
      </c>
      <c r="P484" s="16">
        <f>IF(A484="","",SUM(H484:K484))</f>
        <v/>
      </c>
      <c r="Q484" s="17">
        <f>IF(A484="","",IFERROR(P484/G484,""))</f>
        <v/>
      </c>
      <c r="R484" s="14">
        <f>IF(OR(A484="",G484=""),"",COUNTIFS($N$2:$N$1000,"&gt;0",$G$2:$G$1000,"&gt;"&amp;G484)+COUNTIFS($N$2:N484,"&gt;0",$G$2:G484,G484))</f>
        <v/>
      </c>
    </row>
    <row r="485">
      <c r="A485" s="9" t="n"/>
      <c r="B485" s="10" t="n"/>
      <c r="C485" s="10" t="n"/>
      <c r="D485" s="10" t="n"/>
      <c r="E485" s="10" t="n"/>
      <c r="F485" s="12" t="n"/>
      <c r="G485" s="13" t="n"/>
      <c r="H485" s="13" t="n"/>
      <c r="I485" s="13" t="n"/>
      <c r="J485" s="13" t="n"/>
      <c r="K485" s="13" t="n"/>
      <c r="L485" s="10" t="n"/>
      <c r="M485" s="10" t="n"/>
      <c r="N485" s="14">
        <f>IF(A485="","",WEEKNUM(A485,2))</f>
        <v/>
      </c>
      <c r="O485" s="15">
        <f>IF(OR(A485="",F485=""),"",LOOKUP(F485,Lists!$F$2:$F$5,Lists!$G$2:$G$5))</f>
        <v/>
      </c>
      <c r="P485" s="16">
        <f>IF(A485="","",SUM(H485:K485))</f>
        <v/>
      </c>
      <c r="Q485" s="17">
        <f>IF(A485="","",IFERROR(P485/G485,""))</f>
        <v/>
      </c>
      <c r="R485" s="14">
        <f>IF(OR(A485="",G485=""),"",COUNTIFS($N$2:$N$1000,"&gt;0",$G$2:$G$1000,"&gt;"&amp;G485)+COUNTIFS($N$2:N485,"&gt;0",$G$2:G485,G485))</f>
        <v/>
      </c>
    </row>
    <row r="486">
      <c r="A486" s="9" t="n"/>
      <c r="B486" s="10" t="n"/>
      <c r="C486" s="10" t="n"/>
      <c r="D486" s="10" t="n"/>
      <c r="E486" s="10" t="n"/>
      <c r="F486" s="12" t="n"/>
      <c r="G486" s="13" t="n"/>
      <c r="H486" s="13" t="n"/>
      <c r="I486" s="13" t="n"/>
      <c r="J486" s="13" t="n"/>
      <c r="K486" s="13" t="n"/>
      <c r="L486" s="10" t="n"/>
      <c r="M486" s="10" t="n"/>
      <c r="N486" s="14">
        <f>IF(A486="","",WEEKNUM(A486,2))</f>
        <v/>
      </c>
      <c r="O486" s="15">
        <f>IF(OR(A486="",F486=""),"",LOOKUP(F486,Lists!$F$2:$F$5,Lists!$G$2:$G$5))</f>
        <v/>
      </c>
      <c r="P486" s="16">
        <f>IF(A486="","",SUM(H486:K486))</f>
        <v/>
      </c>
      <c r="Q486" s="17">
        <f>IF(A486="","",IFERROR(P486/G486,""))</f>
        <v/>
      </c>
      <c r="R486" s="14">
        <f>IF(OR(A486="",G486=""),"",COUNTIFS($N$2:$N$1000,"&gt;0",$G$2:$G$1000,"&gt;"&amp;G486)+COUNTIFS($N$2:N486,"&gt;0",$G$2:G486,G486))</f>
        <v/>
      </c>
    </row>
    <row r="487">
      <c r="A487" s="9" t="n"/>
      <c r="B487" s="10" t="n"/>
      <c r="C487" s="10" t="n"/>
      <c r="D487" s="10" t="n"/>
      <c r="E487" s="10" t="n"/>
      <c r="F487" s="12" t="n"/>
      <c r="G487" s="13" t="n"/>
      <c r="H487" s="13" t="n"/>
      <c r="I487" s="13" t="n"/>
      <c r="J487" s="13" t="n"/>
      <c r="K487" s="13" t="n"/>
      <c r="L487" s="10" t="n"/>
      <c r="M487" s="10" t="n"/>
      <c r="N487" s="14">
        <f>IF(A487="","",WEEKNUM(A487,2))</f>
        <v/>
      </c>
      <c r="O487" s="15">
        <f>IF(OR(A487="",F487=""),"",LOOKUP(F487,Lists!$F$2:$F$5,Lists!$G$2:$G$5))</f>
        <v/>
      </c>
      <c r="P487" s="16">
        <f>IF(A487="","",SUM(H487:K487))</f>
        <v/>
      </c>
      <c r="Q487" s="17">
        <f>IF(A487="","",IFERROR(P487/G487,""))</f>
        <v/>
      </c>
      <c r="R487" s="14">
        <f>IF(OR(A487="",G487=""),"",COUNTIFS($N$2:$N$1000,"&gt;0",$G$2:$G$1000,"&gt;"&amp;G487)+COUNTIFS($N$2:N487,"&gt;0",$G$2:G487,G487))</f>
        <v/>
      </c>
    </row>
    <row r="488">
      <c r="A488" s="9" t="n"/>
      <c r="B488" s="10" t="n"/>
      <c r="C488" s="10" t="n"/>
      <c r="D488" s="10" t="n"/>
      <c r="E488" s="10" t="n"/>
      <c r="F488" s="12" t="n"/>
      <c r="G488" s="13" t="n"/>
      <c r="H488" s="13" t="n"/>
      <c r="I488" s="13" t="n"/>
      <c r="J488" s="13" t="n"/>
      <c r="K488" s="13" t="n"/>
      <c r="L488" s="10" t="n"/>
      <c r="M488" s="10" t="n"/>
      <c r="N488" s="14">
        <f>IF(A488="","",WEEKNUM(A488,2))</f>
        <v/>
      </c>
      <c r="O488" s="15">
        <f>IF(OR(A488="",F488=""),"",LOOKUP(F488,Lists!$F$2:$F$5,Lists!$G$2:$G$5))</f>
        <v/>
      </c>
      <c r="P488" s="16">
        <f>IF(A488="","",SUM(H488:K488))</f>
        <v/>
      </c>
      <c r="Q488" s="17">
        <f>IF(A488="","",IFERROR(P488/G488,""))</f>
        <v/>
      </c>
      <c r="R488" s="14">
        <f>IF(OR(A488="",G488=""),"",COUNTIFS($N$2:$N$1000,"&gt;0",$G$2:$G$1000,"&gt;"&amp;G488)+COUNTIFS($N$2:N488,"&gt;0",$G$2:G488,G488))</f>
        <v/>
      </c>
    </row>
    <row r="489">
      <c r="A489" s="9" t="n"/>
      <c r="B489" s="10" t="n"/>
      <c r="C489" s="10" t="n"/>
      <c r="D489" s="10" t="n"/>
      <c r="E489" s="10" t="n"/>
      <c r="F489" s="12" t="n"/>
      <c r="G489" s="13" t="n"/>
      <c r="H489" s="13" t="n"/>
      <c r="I489" s="13" t="n"/>
      <c r="J489" s="13" t="n"/>
      <c r="K489" s="13" t="n"/>
      <c r="L489" s="10" t="n"/>
      <c r="M489" s="10" t="n"/>
      <c r="N489" s="14">
        <f>IF(A489="","",WEEKNUM(A489,2))</f>
        <v/>
      </c>
      <c r="O489" s="15">
        <f>IF(OR(A489="",F489=""),"",LOOKUP(F489,Lists!$F$2:$F$5,Lists!$G$2:$G$5))</f>
        <v/>
      </c>
      <c r="P489" s="16">
        <f>IF(A489="","",SUM(H489:K489))</f>
        <v/>
      </c>
      <c r="Q489" s="17">
        <f>IF(A489="","",IFERROR(P489/G489,""))</f>
        <v/>
      </c>
      <c r="R489" s="14">
        <f>IF(OR(A489="",G489=""),"",COUNTIFS($N$2:$N$1000,"&gt;0",$G$2:$G$1000,"&gt;"&amp;G489)+COUNTIFS($N$2:N489,"&gt;0",$G$2:G489,G489))</f>
        <v/>
      </c>
    </row>
    <row r="490">
      <c r="A490" s="9" t="n"/>
      <c r="B490" s="10" t="n"/>
      <c r="C490" s="10" t="n"/>
      <c r="D490" s="10" t="n"/>
      <c r="E490" s="10" t="n"/>
      <c r="F490" s="12" t="n"/>
      <c r="G490" s="13" t="n"/>
      <c r="H490" s="13" t="n"/>
      <c r="I490" s="13" t="n"/>
      <c r="J490" s="13" t="n"/>
      <c r="K490" s="13" t="n"/>
      <c r="L490" s="10" t="n"/>
      <c r="M490" s="10" t="n"/>
      <c r="N490" s="14">
        <f>IF(A490="","",WEEKNUM(A490,2))</f>
        <v/>
      </c>
      <c r="O490" s="15">
        <f>IF(OR(A490="",F490=""),"",LOOKUP(F490,Lists!$F$2:$F$5,Lists!$G$2:$G$5))</f>
        <v/>
      </c>
      <c r="P490" s="16">
        <f>IF(A490="","",SUM(H490:K490))</f>
        <v/>
      </c>
      <c r="Q490" s="17">
        <f>IF(A490="","",IFERROR(P490/G490,""))</f>
        <v/>
      </c>
      <c r="R490" s="14">
        <f>IF(OR(A490="",G490=""),"",COUNTIFS($N$2:$N$1000,"&gt;0",$G$2:$G$1000,"&gt;"&amp;G490)+COUNTIFS($N$2:N490,"&gt;0",$G$2:G490,G490))</f>
        <v/>
      </c>
    </row>
    <row r="491">
      <c r="A491" s="9" t="n"/>
      <c r="B491" s="10" t="n"/>
      <c r="C491" s="10" t="n"/>
      <c r="D491" s="10" t="n"/>
      <c r="E491" s="10" t="n"/>
      <c r="F491" s="12" t="n"/>
      <c r="G491" s="13" t="n"/>
      <c r="H491" s="13" t="n"/>
      <c r="I491" s="13" t="n"/>
      <c r="J491" s="13" t="n"/>
      <c r="K491" s="13" t="n"/>
      <c r="L491" s="10" t="n"/>
      <c r="M491" s="10" t="n"/>
      <c r="N491" s="14">
        <f>IF(A491="","",WEEKNUM(A491,2))</f>
        <v/>
      </c>
      <c r="O491" s="15">
        <f>IF(OR(A491="",F491=""),"",LOOKUP(F491,Lists!$F$2:$F$5,Lists!$G$2:$G$5))</f>
        <v/>
      </c>
      <c r="P491" s="16">
        <f>IF(A491="","",SUM(H491:K491))</f>
        <v/>
      </c>
      <c r="Q491" s="17">
        <f>IF(A491="","",IFERROR(P491/G491,""))</f>
        <v/>
      </c>
      <c r="R491" s="14">
        <f>IF(OR(A491="",G491=""),"",COUNTIFS($N$2:$N$1000,"&gt;0",$G$2:$G$1000,"&gt;"&amp;G491)+COUNTIFS($N$2:N491,"&gt;0",$G$2:G491,G491))</f>
        <v/>
      </c>
    </row>
    <row r="492">
      <c r="A492" s="9" t="n"/>
      <c r="B492" s="10" t="n"/>
      <c r="C492" s="10" t="n"/>
      <c r="D492" s="10" t="n"/>
      <c r="E492" s="10" t="n"/>
      <c r="F492" s="12" t="n"/>
      <c r="G492" s="13" t="n"/>
      <c r="H492" s="13" t="n"/>
      <c r="I492" s="13" t="n"/>
      <c r="J492" s="13" t="n"/>
      <c r="K492" s="13" t="n"/>
      <c r="L492" s="10" t="n"/>
      <c r="M492" s="10" t="n"/>
      <c r="N492" s="14">
        <f>IF(A492="","",WEEKNUM(A492,2))</f>
        <v/>
      </c>
      <c r="O492" s="15">
        <f>IF(OR(A492="",F492=""),"",LOOKUP(F492,Lists!$F$2:$F$5,Lists!$G$2:$G$5))</f>
        <v/>
      </c>
      <c r="P492" s="16">
        <f>IF(A492="","",SUM(H492:K492))</f>
        <v/>
      </c>
      <c r="Q492" s="17">
        <f>IF(A492="","",IFERROR(P492/G492,""))</f>
        <v/>
      </c>
      <c r="R492" s="14">
        <f>IF(OR(A492="",G492=""),"",COUNTIFS($N$2:$N$1000,"&gt;0",$G$2:$G$1000,"&gt;"&amp;G492)+COUNTIFS($N$2:N492,"&gt;0",$G$2:G492,G492))</f>
        <v/>
      </c>
    </row>
    <row r="493">
      <c r="A493" s="9" t="n"/>
      <c r="B493" s="10" t="n"/>
      <c r="C493" s="10" t="n"/>
      <c r="D493" s="10" t="n"/>
      <c r="E493" s="10" t="n"/>
      <c r="F493" s="12" t="n"/>
      <c r="G493" s="13" t="n"/>
      <c r="H493" s="13" t="n"/>
      <c r="I493" s="13" t="n"/>
      <c r="J493" s="13" t="n"/>
      <c r="K493" s="13" t="n"/>
      <c r="L493" s="10" t="n"/>
      <c r="M493" s="10" t="n"/>
      <c r="N493" s="14">
        <f>IF(A493="","",WEEKNUM(A493,2))</f>
        <v/>
      </c>
      <c r="O493" s="15">
        <f>IF(OR(A493="",F493=""),"",LOOKUP(F493,Lists!$F$2:$F$5,Lists!$G$2:$G$5))</f>
        <v/>
      </c>
      <c r="P493" s="16">
        <f>IF(A493="","",SUM(H493:K493))</f>
        <v/>
      </c>
      <c r="Q493" s="17">
        <f>IF(A493="","",IFERROR(P493/G493,""))</f>
        <v/>
      </c>
      <c r="R493" s="14">
        <f>IF(OR(A493="",G493=""),"",COUNTIFS($N$2:$N$1000,"&gt;0",$G$2:$G$1000,"&gt;"&amp;G493)+COUNTIFS($N$2:N493,"&gt;0",$G$2:G493,G493))</f>
        <v/>
      </c>
    </row>
    <row r="494">
      <c r="A494" s="9" t="n"/>
      <c r="B494" s="10" t="n"/>
      <c r="C494" s="10" t="n"/>
      <c r="D494" s="10" t="n"/>
      <c r="E494" s="10" t="n"/>
      <c r="F494" s="12" t="n"/>
      <c r="G494" s="13" t="n"/>
      <c r="H494" s="13" t="n"/>
      <c r="I494" s="13" t="n"/>
      <c r="J494" s="13" t="n"/>
      <c r="K494" s="13" t="n"/>
      <c r="L494" s="10" t="n"/>
      <c r="M494" s="10" t="n"/>
      <c r="N494" s="14">
        <f>IF(A494="","",WEEKNUM(A494,2))</f>
        <v/>
      </c>
      <c r="O494" s="15">
        <f>IF(OR(A494="",F494=""),"",LOOKUP(F494,Lists!$F$2:$F$5,Lists!$G$2:$G$5))</f>
        <v/>
      </c>
      <c r="P494" s="16">
        <f>IF(A494="","",SUM(H494:K494))</f>
        <v/>
      </c>
      <c r="Q494" s="17">
        <f>IF(A494="","",IFERROR(P494/G494,""))</f>
        <v/>
      </c>
      <c r="R494" s="14">
        <f>IF(OR(A494="",G494=""),"",COUNTIFS($N$2:$N$1000,"&gt;0",$G$2:$G$1000,"&gt;"&amp;G494)+COUNTIFS($N$2:N494,"&gt;0",$G$2:G494,G494))</f>
        <v/>
      </c>
    </row>
    <row r="495">
      <c r="A495" s="9" t="n"/>
      <c r="B495" s="10" t="n"/>
      <c r="C495" s="10" t="n"/>
      <c r="D495" s="10" t="n"/>
      <c r="E495" s="10" t="n"/>
      <c r="F495" s="12" t="n"/>
      <c r="G495" s="13" t="n"/>
      <c r="H495" s="13" t="n"/>
      <c r="I495" s="13" t="n"/>
      <c r="J495" s="13" t="n"/>
      <c r="K495" s="13" t="n"/>
      <c r="L495" s="10" t="n"/>
      <c r="M495" s="10" t="n"/>
      <c r="N495" s="14">
        <f>IF(A495="","",WEEKNUM(A495,2))</f>
        <v/>
      </c>
      <c r="O495" s="15">
        <f>IF(OR(A495="",F495=""),"",LOOKUP(F495,Lists!$F$2:$F$5,Lists!$G$2:$G$5))</f>
        <v/>
      </c>
      <c r="P495" s="16">
        <f>IF(A495="","",SUM(H495:K495))</f>
        <v/>
      </c>
      <c r="Q495" s="17">
        <f>IF(A495="","",IFERROR(P495/G495,""))</f>
        <v/>
      </c>
      <c r="R495" s="14">
        <f>IF(OR(A495="",G495=""),"",COUNTIFS($N$2:$N$1000,"&gt;0",$G$2:$G$1000,"&gt;"&amp;G495)+COUNTIFS($N$2:N495,"&gt;0",$G$2:G495,G495))</f>
        <v/>
      </c>
    </row>
    <row r="496">
      <c r="A496" s="9" t="n"/>
      <c r="B496" s="10" t="n"/>
      <c r="C496" s="10" t="n"/>
      <c r="D496" s="10" t="n"/>
      <c r="E496" s="10" t="n"/>
      <c r="F496" s="12" t="n"/>
      <c r="G496" s="13" t="n"/>
      <c r="H496" s="13" t="n"/>
      <c r="I496" s="13" t="n"/>
      <c r="J496" s="13" t="n"/>
      <c r="K496" s="13" t="n"/>
      <c r="L496" s="10" t="n"/>
      <c r="M496" s="10" t="n"/>
      <c r="N496" s="14">
        <f>IF(A496="","",WEEKNUM(A496,2))</f>
        <v/>
      </c>
      <c r="O496" s="15">
        <f>IF(OR(A496="",F496=""),"",LOOKUP(F496,Lists!$F$2:$F$5,Lists!$G$2:$G$5))</f>
        <v/>
      </c>
      <c r="P496" s="16">
        <f>IF(A496="","",SUM(H496:K496))</f>
        <v/>
      </c>
      <c r="Q496" s="17">
        <f>IF(A496="","",IFERROR(P496/G496,""))</f>
        <v/>
      </c>
      <c r="R496" s="14">
        <f>IF(OR(A496="",G496=""),"",COUNTIFS($N$2:$N$1000,"&gt;0",$G$2:$G$1000,"&gt;"&amp;G496)+COUNTIFS($N$2:N496,"&gt;0",$G$2:G496,G496))</f>
        <v/>
      </c>
    </row>
    <row r="497">
      <c r="A497" s="9" t="n"/>
      <c r="B497" s="10" t="n"/>
      <c r="C497" s="10" t="n"/>
      <c r="D497" s="10" t="n"/>
      <c r="E497" s="10" t="n"/>
      <c r="F497" s="12" t="n"/>
      <c r="G497" s="13" t="n"/>
      <c r="H497" s="13" t="n"/>
      <c r="I497" s="13" t="n"/>
      <c r="J497" s="13" t="n"/>
      <c r="K497" s="13" t="n"/>
      <c r="L497" s="10" t="n"/>
      <c r="M497" s="10" t="n"/>
      <c r="N497" s="14">
        <f>IF(A497="","",WEEKNUM(A497,2))</f>
        <v/>
      </c>
      <c r="O497" s="15">
        <f>IF(OR(A497="",F497=""),"",LOOKUP(F497,Lists!$F$2:$F$5,Lists!$G$2:$G$5))</f>
        <v/>
      </c>
      <c r="P497" s="16">
        <f>IF(A497="","",SUM(H497:K497))</f>
        <v/>
      </c>
      <c r="Q497" s="17">
        <f>IF(A497="","",IFERROR(P497/G497,""))</f>
        <v/>
      </c>
      <c r="R497" s="14">
        <f>IF(OR(A497="",G497=""),"",COUNTIFS($N$2:$N$1000,"&gt;0",$G$2:$G$1000,"&gt;"&amp;G497)+COUNTIFS($N$2:N497,"&gt;0",$G$2:G497,G497))</f>
        <v/>
      </c>
    </row>
    <row r="498">
      <c r="A498" s="9" t="n"/>
      <c r="B498" s="10" t="n"/>
      <c r="C498" s="10" t="n"/>
      <c r="D498" s="10" t="n"/>
      <c r="E498" s="10" t="n"/>
      <c r="F498" s="12" t="n"/>
      <c r="G498" s="13" t="n"/>
      <c r="H498" s="13" t="n"/>
      <c r="I498" s="13" t="n"/>
      <c r="J498" s="13" t="n"/>
      <c r="K498" s="13" t="n"/>
      <c r="L498" s="10" t="n"/>
      <c r="M498" s="10" t="n"/>
      <c r="N498" s="14">
        <f>IF(A498="","",WEEKNUM(A498,2))</f>
        <v/>
      </c>
      <c r="O498" s="15">
        <f>IF(OR(A498="",F498=""),"",LOOKUP(F498,Lists!$F$2:$F$5,Lists!$G$2:$G$5))</f>
        <v/>
      </c>
      <c r="P498" s="16">
        <f>IF(A498="","",SUM(H498:K498))</f>
        <v/>
      </c>
      <c r="Q498" s="17">
        <f>IF(A498="","",IFERROR(P498/G498,""))</f>
        <v/>
      </c>
      <c r="R498" s="14">
        <f>IF(OR(A498="",G498=""),"",COUNTIFS($N$2:$N$1000,"&gt;0",$G$2:$G$1000,"&gt;"&amp;G498)+COUNTIFS($N$2:N498,"&gt;0",$G$2:G498,G498))</f>
        <v/>
      </c>
    </row>
    <row r="499">
      <c r="A499" s="9" t="n"/>
      <c r="B499" s="10" t="n"/>
      <c r="C499" s="10" t="n"/>
      <c r="D499" s="10" t="n"/>
      <c r="E499" s="10" t="n"/>
      <c r="F499" s="12" t="n"/>
      <c r="G499" s="13" t="n"/>
      <c r="H499" s="13" t="n"/>
      <c r="I499" s="13" t="n"/>
      <c r="J499" s="13" t="n"/>
      <c r="K499" s="13" t="n"/>
      <c r="L499" s="10" t="n"/>
      <c r="M499" s="10" t="n"/>
      <c r="N499" s="14">
        <f>IF(A499="","",WEEKNUM(A499,2))</f>
        <v/>
      </c>
      <c r="O499" s="15">
        <f>IF(OR(A499="",F499=""),"",LOOKUP(F499,Lists!$F$2:$F$5,Lists!$G$2:$G$5))</f>
        <v/>
      </c>
      <c r="P499" s="16">
        <f>IF(A499="","",SUM(H499:K499))</f>
        <v/>
      </c>
      <c r="Q499" s="17">
        <f>IF(A499="","",IFERROR(P499/G499,""))</f>
        <v/>
      </c>
      <c r="R499" s="14">
        <f>IF(OR(A499="",G499=""),"",COUNTIFS($N$2:$N$1000,"&gt;0",$G$2:$G$1000,"&gt;"&amp;G499)+COUNTIFS($N$2:N499,"&gt;0",$G$2:G499,G499))</f>
        <v/>
      </c>
    </row>
    <row r="500">
      <c r="A500" s="9" t="n"/>
      <c r="B500" s="10" t="n"/>
      <c r="C500" s="10" t="n"/>
      <c r="D500" s="10" t="n"/>
      <c r="E500" s="10" t="n"/>
      <c r="F500" s="12" t="n"/>
      <c r="G500" s="13" t="n"/>
      <c r="H500" s="13" t="n"/>
      <c r="I500" s="13" t="n"/>
      <c r="J500" s="13" t="n"/>
      <c r="K500" s="13" t="n"/>
      <c r="L500" s="10" t="n"/>
      <c r="M500" s="10" t="n"/>
      <c r="N500" s="14">
        <f>IF(A500="","",WEEKNUM(A500,2))</f>
        <v/>
      </c>
      <c r="O500" s="15">
        <f>IF(OR(A500="",F500=""),"",LOOKUP(F500,Lists!$F$2:$F$5,Lists!$G$2:$G$5))</f>
        <v/>
      </c>
      <c r="P500" s="16">
        <f>IF(A500="","",SUM(H500:K500))</f>
        <v/>
      </c>
      <c r="Q500" s="17">
        <f>IF(A500="","",IFERROR(P500/G500,""))</f>
        <v/>
      </c>
      <c r="R500" s="14">
        <f>IF(OR(A500="",G500=""),"",COUNTIFS($N$2:$N$1000,"&gt;0",$G$2:$G$1000,"&gt;"&amp;G500)+COUNTIFS($N$2:N500,"&gt;0",$G$2:G500,G500))</f>
        <v/>
      </c>
    </row>
    <row r="501">
      <c r="A501" s="9" t="n"/>
      <c r="B501" s="10" t="n"/>
      <c r="C501" s="10" t="n"/>
      <c r="D501" s="10" t="n"/>
      <c r="E501" s="10" t="n"/>
      <c r="F501" s="12" t="n"/>
      <c r="G501" s="13" t="n"/>
      <c r="H501" s="13" t="n"/>
      <c r="I501" s="13" t="n"/>
      <c r="J501" s="13" t="n"/>
      <c r="K501" s="13" t="n"/>
      <c r="L501" s="10" t="n"/>
      <c r="M501" s="10" t="n"/>
      <c r="N501" s="14">
        <f>IF(A501="","",WEEKNUM(A501,2))</f>
        <v/>
      </c>
      <c r="O501" s="15">
        <f>IF(OR(A501="",F501=""),"",LOOKUP(F501,Lists!$F$2:$F$5,Lists!$G$2:$G$5))</f>
        <v/>
      </c>
      <c r="P501" s="16">
        <f>IF(A501="","",SUM(H501:K501))</f>
        <v/>
      </c>
      <c r="Q501" s="17">
        <f>IF(A501="","",IFERROR(P501/G501,""))</f>
        <v/>
      </c>
      <c r="R501" s="14">
        <f>IF(OR(A501="",G501=""),"",COUNTIFS($N$2:$N$1000,"&gt;0",$G$2:$G$1000,"&gt;"&amp;G501)+COUNTIFS($N$2:N501,"&gt;0",$G$2:G501,G501))</f>
        <v/>
      </c>
    </row>
    <row r="502">
      <c r="A502" s="9" t="n"/>
      <c r="B502" s="10" t="n"/>
      <c r="C502" s="10" t="n"/>
      <c r="D502" s="10" t="n"/>
      <c r="E502" s="10" t="n"/>
      <c r="F502" s="12" t="n"/>
      <c r="G502" s="13" t="n"/>
      <c r="H502" s="13" t="n"/>
      <c r="I502" s="13" t="n"/>
      <c r="J502" s="13" t="n"/>
      <c r="K502" s="13" t="n"/>
      <c r="L502" s="10" t="n"/>
      <c r="M502" s="10" t="n"/>
      <c r="N502" s="14">
        <f>IF(A502="","",WEEKNUM(A502,2))</f>
        <v/>
      </c>
      <c r="O502" s="15">
        <f>IF(OR(A502="",F502=""),"",LOOKUP(F502,Lists!$F$2:$F$5,Lists!$G$2:$G$5))</f>
        <v/>
      </c>
      <c r="P502" s="16">
        <f>IF(A502="","",SUM(H502:K502))</f>
        <v/>
      </c>
      <c r="Q502" s="17">
        <f>IF(A502="","",IFERROR(P502/G502,""))</f>
        <v/>
      </c>
      <c r="R502" s="14">
        <f>IF(OR(A502="",G502=""),"",COUNTIFS($N$2:$N$1000,"&gt;0",$G$2:$G$1000,"&gt;"&amp;G502)+COUNTIFS($N$2:N502,"&gt;0",$G$2:G502,G502))</f>
        <v/>
      </c>
    </row>
    <row r="503">
      <c r="A503" s="9" t="n"/>
      <c r="B503" s="10" t="n"/>
      <c r="C503" s="10" t="n"/>
      <c r="D503" s="10" t="n"/>
      <c r="E503" s="10" t="n"/>
      <c r="F503" s="12" t="n"/>
      <c r="G503" s="13" t="n"/>
      <c r="H503" s="13" t="n"/>
      <c r="I503" s="13" t="n"/>
      <c r="J503" s="13" t="n"/>
      <c r="K503" s="13" t="n"/>
      <c r="L503" s="10" t="n"/>
      <c r="M503" s="10" t="n"/>
      <c r="N503" s="14">
        <f>IF(A503="","",WEEKNUM(A503,2))</f>
        <v/>
      </c>
      <c r="O503" s="15">
        <f>IF(OR(A503="",F503=""),"",LOOKUP(F503,Lists!$F$2:$F$5,Lists!$G$2:$G$5))</f>
        <v/>
      </c>
      <c r="P503" s="16">
        <f>IF(A503="","",SUM(H503:K503))</f>
        <v/>
      </c>
      <c r="Q503" s="17">
        <f>IF(A503="","",IFERROR(P503/G503,""))</f>
        <v/>
      </c>
      <c r="R503" s="14">
        <f>IF(OR(A503="",G503=""),"",COUNTIFS($N$2:$N$1000,"&gt;0",$G$2:$G$1000,"&gt;"&amp;G503)+COUNTIFS($N$2:N503,"&gt;0",$G$2:G503,G503))</f>
        <v/>
      </c>
    </row>
    <row r="504">
      <c r="A504" s="9" t="n"/>
      <c r="B504" s="10" t="n"/>
      <c r="C504" s="10" t="n"/>
      <c r="D504" s="10" t="n"/>
      <c r="E504" s="10" t="n"/>
      <c r="F504" s="12" t="n"/>
      <c r="G504" s="13" t="n"/>
      <c r="H504" s="13" t="n"/>
      <c r="I504" s="13" t="n"/>
      <c r="J504" s="13" t="n"/>
      <c r="K504" s="13" t="n"/>
      <c r="L504" s="10" t="n"/>
      <c r="M504" s="10" t="n"/>
      <c r="N504" s="14">
        <f>IF(A504="","",WEEKNUM(A504,2))</f>
        <v/>
      </c>
      <c r="O504" s="15">
        <f>IF(OR(A504="",F504=""),"",LOOKUP(F504,Lists!$F$2:$F$5,Lists!$G$2:$G$5))</f>
        <v/>
      </c>
      <c r="P504" s="16">
        <f>IF(A504="","",SUM(H504:K504))</f>
        <v/>
      </c>
      <c r="Q504" s="17">
        <f>IF(A504="","",IFERROR(P504/G504,""))</f>
        <v/>
      </c>
      <c r="R504" s="14">
        <f>IF(OR(A504="",G504=""),"",COUNTIFS($N$2:$N$1000,"&gt;0",$G$2:$G$1000,"&gt;"&amp;G504)+COUNTIFS($N$2:N504,"&gt;0",$G$2:G504,G504))</f>
        <v/>
      </c>
    </row>
    <row r="505">
      <c r="A505" s="9" t="n"/>
      <c r="B505" s="10" t="n"/>
      <c r="C505" s="10" t="n"/>
      <c r="D505" s="10" t="n"/>
      <c r="E505" s="10" t="n"/>
      <c r="F505" s="12" t="n"/>
      <c r="G505" s="13" t="n"/>
      <c r="H505" s="13" t="n"/>
      <c r="I505" s="13" t="n"/>
      <c r="J505" s="13" t="n"/>
      <c r="K505" s="13" t="n"/>
      <c r="L505" s="10" t="n"/>
      <c r="M505" s="10" t="n"/>
      <c r="N505" s="14">
        <f>IF(A505="","",WEEKNUM(A505,2))</f>
        <v/>
      </c>
      <c r="O505" s="15">
        <f>IF(OR(A505="",F505=""),"",LOOKUP(F505,Lists!$F$2:$F$5,Lists!$G$2:$G$5))</f>
        <v/>
      </c>
      <c r="P505" s="16">
        <f>IF(A505="","",SUM(H505:K505))</f>
        <v/>
      </c>
      <c r="Q505" s="17">
        <f>IF(A505="","",IFERROR(P505/G505,""))</f>
        <v/>
      </c>
      <c r="R505" s="14">
        <f>IF(OR(A505="",G505=""),"",COUNTIFS($N$2:$N$1000,"&gt;0",$G$2:$G$1000,"&gt;"&amp;G505)+COUNTIFS($N$2:N505,"&gt;0",$G$2:G505,G505))</f>
        <v/>
      </c>
    </row>
    <row r="506">
      <c r="A506" s="9" t="n"/>
      <c r="B506" s="10" t="n"/>
      <c r="C506" s="10" t="n"/>
      <c r="D506" s="10" t="n"/>
      <c r="E506" s="10" t="n"/>
      <c r="F506" s="12" t="n"/>
      <c r="G506" s="13" t="n"/>
      <c r="H506" s="13" t="n"/>
      <c r="I506" s="13" t="n"/>
      <c r="J506" s="13" t="n"/>
      <c r="K506" s="13" t="n"/>
      <c r="L506" s="10" t="n"/>
      <c r="M506" s="10" t="n"/>
      <c r="N506" s="14">
        <f>IF(A506="","",WEEKNUM(A506,2))</f>
        <v/>
      </c>
      <c r="O506" s="15">
        <f>IF(OR(A506="",F506=""),"",LOOKUP(F506,Lists!$F$2:$F$5,Lists!$G$2:$G$5))</f>
        <v/>
      </c>
      <c r="P506" s="16">
        <f>IF(A506="","",SUM(H506:K506))</f>
        <v/>
      </c>
      <c r="Q506" s="17">
        <f>IF(A506="","",IFERROR(P506/G506,""))</f>
        <v/>
      </c>
      <c r="R506" s="14">
        <f>IF(OR(A506="",G506=""),"",COUNTIFS($N$2:$N$1000,"&gt;0",$G$2:$G$1000,"&gt;"&amp;G506)+COUNTIFS($N$2:N506,"&gt;0",$G$2:G506,G506))</f>
        <v/>
      </c>
    </row>
    <row r="507">
      <c r="A507" s="9" t="n"/>
      <c r="B507" s="10" t="n"/>
      <c r="C507" s="10" t="n"/>
      <c r="D507" s="10" t="n"/>
      <c r="E507" s="10" t="n"/>
      <c r="F507" s="12" t="n"/>
      <c r="G507" s="13" t="n"/>
      <c r="H507" s="13" t="n"/>
      <c r="I507" s="13" t="n"/>
      <c r="J507" s="13" t="n"/>
      <c r="K507" s="13" t="n"/>
      <c r="L507" s="10" t="n"/>
      <c r="M507" s="10" t="n"/>
      <c r="N507" s="14">
        <f>IF(A507="","",WEEKNUM(A507,2))</f>
        <v/>
      </c>
      <c r="O507" s="15">
        <f>IF(OR(A507="",F507=""),"",LOOKUP(F507,Lists!$F$2:$F$5,Lists!$G$2:$G$5))</f>
        <v/>
      </c>
      <c r="P507" s="16">
        <f>IF(A507="","",SUM(H507:K507))</f>
        <v/>
      </c>
      <c r="Q507" s="17">
        <f>IF(A507="","",IFERROR(P507/G507,""))</f>
        <v/>
      </c>
      <c r="R507" s="14">
        <f>IF(OR(A507="",G507=""),"",COUNTIFS($N$2:$N$1000,"&gt;0",$G$2:$G$1000,"&gt;"&amp;G507)+COUNTIFS($N$2:N507,"&gt;0",$G$2:G507,G507))</f>
        <v/>
      </c>
    </row>
    <row r="508">
      <c r="A508" s="9" t="n"/>
      <c r="B508" s="10" t="n"/>
      <c r="C508" s="10" t="n"/>
      <c r="D508" s="10" t="n"/>
      <c r="E508" s="10" t="n"/>
      <c r="F508" s="12" t="n"/>
      <c r="G508" s="13" t="n"/>
      <c r="H508" s="13" t="n"/>
      <c r="I508" s="13" t="n"/>
      <c r="J508" s="13" t="n"/>
      <c r="K508" s="13" t="n"/>
      <c r="L508" s="10" t="n"/>
      <c r="M508" s="10" t="n"/>
      <c r="N508" s="14">
        <f>IF(A508="","",WEEKNUM(A508,2))</f>
        <v/>
      </c>
      <c r="O508" s="15">
        <f>IF(OR(A508="",F508=""),"",LOOKUP(F508,Lists!$F$2:$F$5,Lists!$G$2:$G$5))</f>
        <v/>
      </c>
      <c r="P508" s="16">
        <f>IF(A508="","",SUM(H508:K508))</f>
        <v/>
      </c>
      <c r="Q508" s="17">
        <f>IF(A508="","",IFERROR(P508/G508,""))</f>
        <v/>
      </c>
      <c r="R508" s="14">
        <f>IF(OR(A508="",G508=""),"",COUNTIFS($N$2:$N$1000,"&gt;0",$G$2:$G$1000,"&gt;"&amp;G508)+COUNTIFS($N$2:N508,"&gt;0",$G$2:G508,G508))</f>
        <v/>
      </c>
    </row>
    <row r="509">
      <c r="A509" s="9" t="n"/>
      <c r="B509" s="10" t="n"/>
      <c r="C509" s="10" t="n"/>
      <c r="D509" s="10" t="n"/>
      <c r="E509" s="10" t="n"/>
      <c r="F509" s="12" t="n"/>
      <c r="G509" s="13" t="n"/>
      <c r="H509" s="13" t="n"/>
      <c r="I509" s="13" t="n"/>
      <c r="J509" s="13" t="n"/>
      <c r="K509" s="13" t="n"/>
      <c r="L509" s="10" t="n"/>
      <c r="M509" s="10" t="n"/>
      <c r="N509" s="14">
        <f>IF(A509="","",WEEKNUM(A509,2))</f>
        <v/>
      </c>
      <c r="O509" s="15">
        <f>IF(OR(A509="",F509=""),"",LOOKUP(F509,Lists!$F$2:$F$5,Lists!$G$2:$G$5))</f>
        <v/>
      </c>
      <c r="P509" s="16">
        <f>IF(A509="","",SUM(H509:K509))</f>
        <v/>
      </c>
      <c r="Q509" s="17">
        <f>IF(A509="","",IFERROR(P509/G509,""))</f>
        <v/>
      </c>
      <c r="R509" s="14">
        <f>IF(OR(A509="",G509=""),"",COUNTIFS($N$2:$N$1000,"&gt;0",$G$2:$G$1000,"&gt;"&amp;G509)+COUNTIFS($N$2:N509,"&gt;0",$G$2:G509,G509))</f>
        <v/>
      </c>
    </row>
    <row r="510">
      <c r="A510" s="9" t="n"/>
      <c r="B510" s="10" t="n"/>
      <c r="C510" s="10" t="n"/>
      <c r="D510" s="10" t="n"/>
      <c r="E510" s="10" t="n"/>
      <c r="F510" s="12" t="n"/>
      <c r="G510" s="13" t="n"/>
      <c r="H510" s="13" t="n"/>
      <c r="I510" s="13" t="n"/>
      <c r="J510" s="13" t="n"/>
      <c r="K510" s="13" t="n"/>
      <c r="L510" s="10" t="n"/>
      <c r="M510" s="10" t="n"/>
      <c r="N510" s="14">
        <f>IF(A510="","",WEEKNUM(A510,2))</f>
        <v/>
      </c>
      <c r="O510" s="15">
        <f>IF(OR(A510="",F510=""),"",LOOKUP(F510,Lists!$F$2:$F$5,Lists!$G$2:$G$5))</f>
        <v/>
      </c>
      <c r="P510" s="16">
        <f>IF(A510="","",SUM(H510:K510))</f>
        <v/>
      </c>
      <c r="Q510" s="17">
        <f>IF(A510="","",IFERROR(P510/G510,""))</f>
        <v/>
      </c>
      <c r="R510" s="14">
        <f>IF(OR(A510="",G510=""),"",COUNTIFS($N$2:$N$1000,"&gt;0",$G$2:$G$1000,"&gt;"&amp;G510)+COUNTIFS($N$2:N510,"&gt;0",$G$2:G510,G510))</f>
        <v/>
      </c>
    </row>
    <row r="511">
      <c r="A511" s="9" t="n"/>
      <c r="B511" s="10" t="n"/>
      <c r="C511" s="10" t="n"/>
      <c r="D511" s="10" t="n"/>
      <c r="E511" s="10" t="n"/>
      <c r="F511" s="12" t="n"/>
      <c r="G511" s="13" t="n"/>
      <c r="H511" s="13" t="n"/>
      <c r="I511" s="13" t="n"/>
      <c r="J511" s="13" t="n"/>
      <c r="K511" s="13" t="n"/>
      <c r="L511" s="10" t="n"/>
      <c r="M511" s="10" t="n"/>
      <c r="N511" s="14">
        <f>IF(A511="","",WEEKNUM(A511,2))</f>
        <v/>
      </c>
      <c r="O511" s="15">
        <f>IF(OR(A511="",F511=""),"",LOOKUP(F511,Lists!$F$2:$F$5,Lists!$G$2:$G$5))</f>
        <v/>
      </c>
      <c r="P511" s="16">
        <f>IF(A511="","",SUM(H511:K511))</f>
        <v/>
      </c>
      <c r="Q511" s="17">
        <f>IF(A511="","",IFERROR(P511/G511,""))</f>
        <v/>
      </c>
      <c r="R511" s="14">
        <f>IF(OR(A511="",G511=""),"",COUNTIFS($N$2:$N$1000,"&gt;0",$G$2:$G$1000,"&gt;"&amp;G511)+COUNTIFS($N$2:N511,"&gt;0",$G$2:G511,G511))</f>
        <v/>
      </c>
    </row>
    <row r="512">
      <c r="A512" s="9" t="n"/>
      <c r="B512" s="10" t="n"/>
      <c r="C512" s="10" t="n"/>
      <c r="D512" s="10" t="n"/>
      <c r="E512" s="10" t="n"/>
      <c r="F512" s="12" t="n"/>
      <c r="G512" s="13" t="n"/>
      <c r="H512" s="13" t="n"/>
      <c r="I512" s="13" t="n"/>
      <c r="J512" s="13" t="n"/>
      <c r="K512" s="13" t="n"/>
      <c r="L512" s="10" t="n"/>
      <c r="M512" s="10" t="n"/>
      <c r="N512" s="14">
        <f>IF(A512="","",WEEKNUM(A512,2))</f>
        <v/>
      </c>
      <c r="O512" s="15">
        <f>IF(OR(A512="",F512=""),"",LOOKUP(F512,Lists!$F$2:$F$5,Lists!$G$2:$G$5))</f>
        <v/>
      </c>
      <c r="P512" s="16">
        <f>IF(A512="","",SUM(H512:K512))</f>
        <v/>
      </c>
      <c r="Q512" s="17">
        <f>IF(A512="","",IFERROR(P512/G512,""))</f>
        <v/>
      </c>
      <c r="R512" s="14">
        <f>IF(OR(A512="",G512=""),"",COUNTIFS($N$2:$N$1000,"&gt;0",$G$2:$G$1000,"&gt;"&amp;G512)+COUNTIFS($N$2:N512,"&gt;0",$G$2:G512,G512))</f>
        <v/>
      </c>
    </row>
    <row r="513">
      <c r="A513" s="9" t="n"/>
      <c r="B513" s="10" t="n"/>
      <c r="C513" s="10" t="n"/>
      <c r="D513" s="10" t="n"/>
      <c r="E513" s="10" t="n"/>
      <c r="F513" s="12" t="n"/>
      <c r="G513" s="13" t="n"/>
      <c r="H513" s="13" t="n"/>
      <c r="I513" s="13" t="n"/>
      <c r="J513" s="13" t="n"/>
      <c r="K513" s="13" t="n"/>
      <c r="L513" s="10" t="n"/>
      <c r="M513" s="10" t="n"/>
      <c r="N513" s="14">
        <f>IF(A513="","",WEEKNUM(A513,2))</f>
        <v/>
      </c>
      <c r="O513" s="15">
        <f>IF(OR(A513="",F513=""),"",LOOKUP(F513,Lists!$F$2:$F$5,Lists!$G$2:$G$5))</f>
        <v/>
      </c>
      <c r="P513" s="16">
        <f>IF(A513="","",SUM(H513:K513))</f>
        <v/>
      </c>
      <c r="Q513" s="17">
        <f>IF(A513="","",IFERROR(P513/G513,""))</f>
        <v/>
      </c>
      <c r="R513" s="14">
        <f>IF(OR(A513="",G513=""),"",COUNTIFS($N$2:$N$1000,"&gt;0",$G$2:$G$1000,"&gt;"&amp;G513)+COUNTIFS($N$2:N513,"&gt;0",$G$2:G513,G513))</f>
        <v/>
      </c>
    </row>
    <row r="514">
      <c r="A514" s="9" t="n"/>
      <c r="B514" s="10" t="n"/>
      <c r="C514" s="10" t="n"/>
      <c r="D514" s="10" t="n"/>
      <c r="E514" s="10" t="n"/>
      <c r="F514" s="12" t="n"/>
      <c r="G514" s="13" t="n"/>
      <c r="H514" s="13" t="n"/>
      <c r="I514" s="13" t="n"/>
      <c r="J514" s="13" t="n"/>
      <c r="K514" s="13" t="n"/>
      <c r="L514" s="10" t="n"/>
      <c r="M514" s="10" t="n"/>
      <c r="N514" s="14">
        <f>IF(A514="","",WEEKNUM(A514,2))</f>
        <v/>
      </c>
      <c r="O514" s="15">
        <f>IF(OR(A514="",F514=""),"",LOOKUP(F514,Lists!$F$2:$F$5,Lists!$G$2:$G$5))</f>
        <v/>
      </c>
      <c r="P514" s="16">
        <f>IF(A514="","",SUM(H514:K514))</f>
        <v/>
      </c>
      <c r="Q514" s="17">
        <f>IF(A514="","",IFERROR(P514/G514,""))</f>
        <v/>
      </c>
      <c r="R514" s="14">
        <f>IF(OR(A514="",G514=""),"",COUNTIFS($N$2:$N$1000,"&gt;0",$G$2:$G$1000,"&gt;"&amp;G514)+COUNTIFS($N$2:N514,"&gt;0",$G$2:G514,G514))</f>
        <v/>
      </c>
    </row>
    <row r="515">
      <c r="A515" s="9" t="n"/>
      <c r="B515" s="10" t="n"/>
      <c r="C515" s="10" t="n"/>
      <c r="D515" s="10" t="n"/>
      <c r="E515" s="10" t="n"/>
      <c r="F515" s="12" t="n"/>
      <c r="G515" s="13" t="n"/>
      <c r="H515" s="13" t="n"/>
      <c r="I515" s="13" t="n"/>
      <c r="J515" s="13" t="n"/>
      <c r="K515" s="13" t="n"/>
      <c r="L515" s="10" t="n"/>
      <c r="M515" s="10" t="n"/>
      <c r="N515" s="14">
        <f>IF(A515="","",WEEKNUM(A515,2))</f>
        <v/>
      </c>
      <c r="O515" s="15">
        <f>IF(OR(A515="",F515=""),"",LOOKUP(F515,Lists!$F$2:$F$5,Lists!$G$2:$G$5))</f>
        <v/>
      </c>
      <c r="P515" s="16">
        <f>IF(A515="","",SUM(H515:K515))</f>
        <v/>
      </c>
      <c r="Q515" s="17">
        <f>IF(A515="","",IFERROR(P515/G515,""))</f>
        <v/>
      </c>
      <c r="R515" s="14">
        <f>IF(OR(A515="",G515=""),"",COUNTIFS($N$2:$N$1000,"&gt;0",$G$2:$G$1000,"&gt;"&amp;G515)+COUNTIFS($N$2:N515,"&gt;0",$G$2:G515,G515))</f>
        <v/>
      </c>
    </row>
    <row r="516">
      <c r="A516" s="9" t="n"/>
      <c r="B516" s="10" t="n"/>
      <c r="C516" s="10" t="n"/>
      <c r="D516" s="10" t="n"/>
      <c r="E516" s="10" t="n"/>
      <c r="F516" s="12" t="n"/>
      <c r="G516" s="13" t="n"/>
      <c r="H516" s="13" t="n"/>
      <c r="I516" s="13" t="n"/>
      <c r="J516" s="13" t="n"/>
      <c r="K516" s="13" t="n"/>
      <c r="L516" s="10" t="n"/>
      <c r="M516" s="10" t="n"/>
      <c r="N516" s="14">
        <f>IF(A516="","",WEEKNUM(A516,2))</f>
        <v/>
      </c>
      <c r="O516" s="15">
        <f>IF(OR(A516="",F516=""),"",LOOKUP(F516,Lists!$F$2:$F$5,Lists!$G$2:$G$5))</f>
        <v/>
      </c>
      <c r="P516" s="16">
        <f>IF(A516="","",SUM(H516:K516))</f>
        <v/>
      </c>
      <c r="Q516" s="17">
        <f>IF(A516="","",IFERROR(P516/G516,""))</f>
        <v/>
      </c>
      <c r="R516" s="14">
        <f>IF(OR(A516="",G516=""),"",COUNTIFS($N$2:$N$1000,"&gt;0",$G$2:$G$1000,"&gt;"&amp;G516)+COUNTIFS($N$2:N516,"&gt;0",$G$2:G516,G516))</f>
        <v/>
      </c>
    </row>
    <row r="517">
      <c r="A517" s="9" t="n"/>
      <c r="B517" s="10" t="n"/>
      <c r="C517" s="10" t="n"/>
      <c r="D517" s="10" t="n"/>
      <c r="E517" s="10" t="n"/>
      <c r="F517" s="12" t="n"/>
      <c r="G517" s="13" t="n"/>
      <c r="H517" s="13" t="n"/>
      <c r="I517" s="13" t="n"/>
      <c r="J517" s="13" t="n"/>
      <c r="K517" s="13" t="n"/>
      <c r="L517" s="10" t="n"/>
      <c r="M517" s="10" t="n"/>
      <c r="N517" s="14">
        <f>IF(A517="","",WEEKNUM(A517,2))</f>
        <v/>
      </c>
      <c r="O517" s="15">
        <f>IF(OR(A517="",F517=""),"",LOOKUP(F517,Lists!$F$2:$F$5,Lists!$G$2:$G$5))</f>
        <v/>
      </c>
      <c r="P517" s="16">
        <f>IF(A517="","",SUM(H517:K517))</f>
        <v/>
      </c>
      <c r="Q517" s="17">
        <f>IF(A517="","",IFERROR(P517/G517,""))</f>
        <v/>
      </c>
      <c r="R517" s="14">
        <f>IF(OR(A517="",G517=""),"",COUNTIFS($N$2:$N$1000,"&gt;0",$G$2:$G$1000,"&gt;"&amp;G517)+COUNTIFS($N$2:N517,"&gt;0",$G$2:G517,G517))</f>
        <v/>
      </c>
    </row>
    <row r="518">
      <c r="A518" s="9" t="n"/>
      <c r="B518" s="10" t="n"/>
      <c r="C518" s="10" t="n"/>
      <c r="D518" s="10" t="n"/>
      <c r="E518" s="10" t="n"/>
      <c r="F518" s="12" t="n"/>
      <c r="G518" s="13" t="n"/>
      <c r="H518" s="13" t="n"/>
      <c r="I518" s="13" t="n"/>
      <c r="J518" s="13" t="n"/>
      <c r="K518" s="13" t="n"/>
      <c r="L518" s="10" t="n"/>
      <c r="M518" s="10" t="n"/>
      <c r="N518" s="14">
        <f>IF(A518="","",WEEKNUM(A518,2))</f>
        <v/>
      </c>
      <c r="O518" s="15">
        <f>IF(OR(A518="",F518=""),"",LOOKUP(F518,Lists!$F$2:$F$5,Lists!$G$2:$G$5))</f>
        <v/>
      </c>
      <c r="P518" s="16">
        <f>IF(A518="","",SUM(H518:K518))</f>
        <v/>
      </c>
      <c r="Q518" s="17">
        <f>IF(A518="","",IFERROR(P518/G518,""))</f>
        <v/>
      </c>
      <c r="R518" s="14">
        <f>IF(OR(A518="",G518=""),"",COUNTIFS($N$2:$N$1000,"&gt;0",$G$2:$G$1000,"&gt;"&amp;G518)+COUNTIFS($N$2:N518,"&gt;0",$G$2:G518,G518))</f>
        <v/>
      </c>
    </row>
    <row r="519">
      <c r="A519" s="9" t="n"/>
      <c r="B519" s="10" t="n"/>
      <c r="C519" s="10" t="n"/>
      <c r="D519" s="10" t="n"/>
      <c r="E519" s="10" t="n"/>
      <c r="F519" s="12" t="n"/>
      <c r="G519" s="13" t="n"/>
      <c r="H519" s="13" t="n"/>
      <c r="I519" s="13" t="n"/>
      <c r="J519" s="13" t="n"/>
      <c r="K519" s="13" t="n"/>
      <c r="L519" s="10" t="n"/>
      <c r="M519" s="10" t="n"/>
      <c r="N519" s="14">
        <f>IF(A519="","",WEEKNUM(A519,2))</f>
        <v/>
      </c>
      <c r="O519" s="15">
        <f>IF(OR(A519="",F519=""),"",LOOKUP(F519,Lists!$F$2:$F$5,Lists!$G$2:$G$5))</f>
        <v/>
      </c>
      <c r="P519" s="16">
        <f>IF(A519="","",SUM(H519:K519))</f>
        <v/>
      </c>
      <c r="Q519" s="17">
        <f>IF(A519="","",IFERROR(P519/G519,""))</f>
        <v/>
      </c>
      <c r="R519" s="14">
        <f>IF(OR(A519="",G519=""),"",COUNTIFS($N$2:$N$1000,"&gt;0",$G$2:$G$1000,"&gt;"&amp;G519)+COUNTIFS($N$2:N519,"&gt;0",$G$2:G519,G519))</f>
        <v/>
      </c>
    </row>
    <row r="520">
      <c r="A520" s="9" t="n"/>
      <c r="B520" s="10" t="n"/>
      <c r="C520" s="10" t="n"/>
      <c r="D520" s="10" t="n"/>
      <c r="E520" s="10" t="n"/>
      <c r="F520" s="12" t="n"/>
      <c r="G520" s="13" t="n"/>
      <c r="H520" s="13" t="n"/>
      <c r="I520" s="13" t="n"/>
      <c r="J520" s="13" t="n"/>
      <c r="K520" s="13" t="n"/>
      <c r="L520" s="10" t="n"/>
      <c r="M520" s="10" t="n"/>
      <c r="N520" s="14">
        <f>IF(A520="","",WEEKNUM(A520,2))</f>
        <v/>
      </c>
      <c r="O520" s="15">
        <f>IF(OR(A520="",F520=""),"",LOOKUP(F520,Lists!$F$2:$F$5,Lists!$G$2:$G$5))</f>
        <v/>
      </c>
      <c r="P520" s="16">
        <f>IF(A520="","",SUM(H520:K520))</f>
        <v/>
      </c>
      <c r="Q520" s="17">
        <f>IF(A520="","",IFERROR(P520/G520,""))</f>
        <v/>
      </c>
      <c r="R520" s="14">
        <f>IF(OR(A520="",G520=""),"",COUNTIFS($N$2:$N$1000,"&gt;0",$G$2:$G$1000,"&gt;"&amp;G520)+COUNTIFS($N$2:N520,"&gt;0",$G$2:G520,G520))</f>
        <v/>
      </c>
    </row>
    <row r="521">
      <c r="A521" s="9" t="n"/>
      <c r="B521" s="10" t="n"/>
      <c r="C521" s="10" t="n"/>
      <c r="D521" s="10" t="n"/>
      <c r="E521" s="10" t="n"/>
      <c r="F521" s="12" t="n"/>
      <c r="G521" s="13" t="n"/>
      <c r="H521" s="13" t="n"/>
      <c r="I521" s="13" t="n"/>
      <c r="J521" s="13" t="n"/>
      <c r="K521" s="13" t="n"/>
      <c r="L521" s="10" t="n"/>
      <c r="M521" s="10" t="n"/>
      <c r="N521" s="14">
        <f>IF(A521="","",WEEKNUM(A521,2))</f>
        <v/>
      </c>
      <c r="O521" s="15">
        <f>IF(OR(A521="",F521=""),"",LOOKUP(F521,Lists!$F$2:$F$5,Lists!$G$2:$G$5))</f>
        <v/>
      </c>
      <c r="P521" s="16">
        <f>IF(A521="","",SUM(H521:K521))</f>
        <v/>
      </c>
      <c r="Q521" s="17">
        <f>IF(A521="","",IFERROR(P521/G521,""))</f>
        <v/>
      </c>
      <c r="R521" s="14">
        <f>IF(OR(A521="",G521=""),"",COUNTIFS($N$2:$N$1000,"&gt;0",$G$2:$G$1000,"&gt;"&amp;G521)+COUNTIFS($N$2:N521,"&gt;0",$G$2:G521,G521))</f>
        <v/>
      </c>
    </row>
    <row r="522">
      <c r="A522" s="9" t="n"/>
      <c r="B522" s="10" t="n"/>
      <c r="C522" s="10" t="n"/>
      <c r="D522" s="10" t="n"/>
      <c r="E522" s="10" t="n"/>
      <c r="F522" s="12" t="n"/>
      <c r="G522" s="13" t="n"/>
      <c r="H522" s="13" t="n"/>
      <c r="I522" s="13" t="n"/>
      <c r="J522" s="13" t="n"/>
      <c r="K522" s="13" t="n"/>
      <c r="L522" s="10" t="n"/>
      <c r="M522" s="10" t="n"/>
      <c r="N522" s="14">
        <f>IF(A522="","",WEEKNUM(A522,2))</f>
        <v/>
      </c>
      <c r="O522" s="15">
        <f>IF(OR(A522="",F522=""),"",LOOKUP(F522,Lists!$F$2:$F$5,Lists!$G$2:$G$5))</f>
        <v/>
      </c>
      <c r="P522" s="16">
        <f>IF(A522="","",SUM(H522:K522))</f>
        <v/>
      </c>
      <c r="Q522" s="17">
        <f>IF(A522="","",IFERROR(P522/G522,""))</f>
        <v/>
      </c>
      <c r="R522" s="14">
        <f>IF(OR(A522="",G522=""),"",COUNTIFS($N$2:$N$1000,"&gt;0",$G$2:$G$1000,"&gt;"&amp;G522)+COUNTIFS($N$2:N522,"&gt;0",$G$2:G522,G522))</f>
        <v/>
      </c>
    </row>
    <row r="523">
      <c r="A523" s="9" t="n"/>
      <c r="B523" s="10" t="n"/>
      <c r="C523" s="10" t="n"/>
      <c r="D523" s="10" t="n"/>
      <c r="E523" s="10" t="n"/>
      <c r="F523" s="12" t="n"/>
      <c r="G523" s="13" t="n"/>
      <c r="H523" s="13" t="n"/>
      <c r="I523" s="13" t="n"/>
      <c r="J523" s="13" t="n"/>
      <c r="K523" s="13" t="n"/>
      <c r="L523" s="10" t="n"/>
      <c r="M523" s="10" t="n"/>
      <c r="N523" s="14">
        <f>IF(A523="","",WEEKNUM(A523,2))</f>
        <v/>
      </c>
      <c r="O523" s="15">
        <f>IF(OR(A523="",F523=""),"",LOOKUP(F523,Lists!$F$2:$F$5,Lists!$G$2:$G$5))</f>
        <v/>
      </c>
      <c r="P523" s="16">
        <f>IF(A523="","",SUM(H523:K523))</f>
        <v/>
      </c>
      <c r="Q523" s="17">
        <f>IF(A523="","",IFERROR(P523/G523,""))</f>
        <v/>
      </c>
      <c r="R523" s="14">
        <f>IF(OR(A523="",G523=""),"",COUNTIFS($N$2:$N$1000,"&gt;0",$G$2:$G$1000,"&gt;"&amp;G523)+COUNTIFS($N$2:N523,"&gt;0",$G$2:G523,G523))</f>
        <v/>
      </c>
    </row>
    <row r="524">
      <c r="A524" s="9" t="n"/>
      <c r="B524" s="10" t="n"/>
      <c r="C524" s="10" t="n"/>
      <c r="D524" s="10" t="n"/>
      <c r="E524" s="10" t="n"/>
      <c r="F524" s="12" t="n"/>
      <c r="G524" s="13" t="n"/>
      <c r="H524" s="13" t="n"/>
      <c r="I524" s="13" t="n"/>
      <c r="J524" s="13" t="n"/>
      <c r="K524" s="13" t="n"/>
      <c r="L524" s="10" t="n"/>
      <c r="M524" s="10" t="n"/>
      <c r="N524" s="14">
        <f>IF(A524="","",WEEKNUM(A524,2))</f>
        <v/>
      </c>
      <c r="O524" s="15">
        <f>IF(OR(A524="",F524=""),"",LOOKUP(F524,Lists!$F$2:$F$5,Lists!$G$2:$G$5))</f>
        <v/>
      </c>
      <c r="P524" s="16">
        <f>IF(A524="","",SUM(H524:K524))</f>
        <v/>
      </c>
      <c r="Q524" s="17">
        <f>IF(A524="","",IFERROR(P524/G524,""))</f>
        <v/>
      </c>
      <c r="R524" s="14">
        <f>IF(OR(A524="",G524=""),"",COUNTIFS($N$2:$N$1000,"&gt;0",$G$2:$G$1000,"&gt;"&amp;G524)+COUNTIFS($N$2:N524,"&gt;0",$G$2:G524,G524))</f>
        <v/>
      </c>
    </row>
    <row r="525">
      <c r="A525" s="9" t="n"/>
      <c r="B525" s="10" t="n"/>
      <c r="C525" s="10" t="n"/>
      <c r="D525" s="10" t="n"/>
      <c r="E525" s="10" t="n"/>
      <c r="F525" s="12" t="n"/>
      <c r="G525" s="13" t="n"/>
      <c r="H525" s="13" t="n"/>
      <c r="I525" s="13" t="n"/>
      <c r="J525" s="13" t="n"/>
      <c r="K525" s="13" t="n"/>
      <c r="L525" s="10" t="n"/>
      <c r="M525" s="10" t="n"/>
      <c r="N525" s="14">
        <f>IF(A525="","",WEEKNUM(A525,2))</f>
        <v/>
      </c>
      <c r="O525" s="15">
        <f>IF(OR(A525="",F525=""),"",LOOKUP(F525,Lists!$F$2:$F$5,Lists!$G$2:$G$5))</f>
        <v/>
      </c>
      <c r="P525" s="16">
        <f>IF(A525="","",SUM(H525:K525))</f>
        <v/>
      </c>
      <c r="Q525" s="17">
        <f>IF(A525="","",IFERROR(P525/G525,""))</f>
        <v/>
      </c>
      <c r="R525" s="14">
        <f>IF(OR(A525="",G525=""),"",COUNTIFS($N$2:$N$1000,"&gt;0",$G$2:$G$1000,"&gt;"&amp;G525)+COUNTIFS($N$2:N525,"&gt;0",$G$2:G525,G525))</f>
        <v/>
      </c>
    </row>
    <row r="526">
      <c r="A526" s="9" t="n"/>
      <c r="B526" s="10" t="n"/>
      <c r="C526" s="10" t="n"/>
      <c r="D526" s="10" t="n"/>
      <c r="E526" s="10" t="n"/>
      <c r="F526" s="12" t="n"/>
      <c r="G526" s="13" t="n"/>
      <c r="H526" s="13" t="n"/>
      <c r="I526" s="13" t="n"/>
      <c r="J526" s="13" t="n"/>
      <c r="K526" s="13" t="n"/>
      <c r="L526" s="10" t="n"/>
      <c r="M526" s="10" t="n"/>
      <c r="N526" s="14">
        <f>IF(A526="","",WEEKNUM(A526,2))</f>
        <v/>
      </c>
      <c r="O526" s="15">
        <f>IF(OR(A526="",F526=""),"",LOOKUP(F526,Lists!$F$2:$F$5,Lists!$G$2:$G$5))</f>
        <v/>
      </c>
      <c r="P526" s="16">
        <f>IF(A526="","",SUM(H526:K526))</f>
        <v/>
      </c>
      <c r="Q526" s="17">
        <f>IF(A526="","",IFERROR(P526/G526,""))</f>
        <v/>
      </c>
      <c r="R526" s="14">
        <f>IF(OR(A526="",G526=""),"",COUNTIFS($N$2:$N$1000,"&gt;0",$G$2:$G$1000,"&gt;"&amp;G526)+COUNTIFS($N$2:N526,"&gt;0",$G$2:G526,G526))</f>
        <v/>
      </c>
    </row>
    <row r="527">
      <c r="A527" s="9" t="n"/>
      <c r="B527" s="10" t="n"/>
      <c r="C527" s="10" t="n"/>
      <c r="D527" s="10" t="n"/>
      <c r="E527" s="10" t="n"/>
      <c r="F527" s="12" t="n"/>
      <c r="G527" s="13" t="n"/>
      <c r="H527" s="13" t="n"/>
      <c r="I527" s="13" t="n"/>
      <c r="J527" s="13" t="n"/>
      <c r="K527" s="13" t="n"/>
      <c r="L527" s="10" t="n"/>
      <c r="M527" s="10" t="n"/>
      <c r="N527" s="14">
        <f>IF(A527="","",WEEKNUM(A527,2))</f>
        <v/>
      </c>
      <c r="O527" s="15">
        <f>IF(OR(A527="",F527=""),"",LOOKUP(F527,Lists!$F$2:$F$5,Lists!$G$2:$G$5))</f>
        <v/>
      </c>
      <c r="P527" s="16">
        <f>IF(A527="","",SUM(H527:K527))</f>
        <v/>
      </c>
      <c r="Q527" s="17">
        <f>IF(A527="","",IFERROR(P527/G527,""))</f>
        <v/>
      </c>
      <c r="R527" s="14">
        <f>IF(OR(A527="",G527=""),"",COUNTIFS($N$2:$N$1000,"&gt;0",$G$2:$G$1000,"&gt;"&amp;G527)+COUNTIFS($N$2:N527,"&gt;0",$G$2:G527,G527))</f>
        <v/>
      </c>
    </row>
    <row r="528">
      <c r="A528" s="9" t="n"/>
      <c r="B528" s="10" t="n"/>
      <c r="C528" s="10" t="n"/>
      <c r="D528" s="10" t="n"/>
      <c r="E528" s="10" t="n"/>
      <c r="F528" s="12" t="n"/>
      <c r="G528" s="13" t="n"/>
      <c r="H528" s="13" t="n"/>
      <c r="I528" s="13" t="n"/>
      <c r="J528" s="13" t="n"/>
      <c r="K528" s="13" t="n"/>
      <c r="L528" s="10" t="n"/>
      <c r="M528" s="10" t="n"/>
      <c r="N528" s="14">
        <f>IF(A528="","",WEEKNUM(A528,2))</f>
        <v/>
      </c>
      <c r="O528" s="15">
        <f>IF(OR(A528="",F528=""),"",LOOKUP(F528,Lists!$F$2:$F$5,Lists!$G$2:$G$5))</f>
        <v/>
      </c>
      <c r="P528" s="16">
        <f>IF(A528="","",SUM(H528:K528))</f>
        <v/>
      </c>
      <c r="Q528" s="17">
        <f>IF(A528="","",IFERROR(P528/G528,""))</f>
        <v/>
      </c>
      <c r="R528" s="14">
        <f>IF(OR(A528="",G528=""),"",COUNTIFS($N$2:$N$1000,"&gt;0",$G$2:$G$1000,"&gt;"&amp;G528)+COUNTIFS($N$2:N528,"&gt;0",$G$2:G528,G528))</f>
        <v/>
      </c>
    </row>
    <row r="529">
      <c r="A529" s="9" t="n"/>
      <c r="B529" s="10" t="n"/>
      <c r="C529" s="10" t="n"/>
      <c r="D529" s="10" t="n"/>
      <c r="E529" s="10" t="n"/>
      <c r="F529" s="12" t="n"/>
      <c r="G529" s="13" t="n"/>
      <c r="H529" s="13" t="n"/>
      <c r="I529" s="13" t="n"/>
      <c r="J529" s="13" t="n"/>
      <c r="K529" s="13" t="n"/>
      <c r="L529" s="10" t="n"/>
      <c r="M529" s="10" t="n"/>
      <c r="N529" s="14">
        <f>IF(A529="","",WEEKNUM(A529,2))</f>
        <v/>
      </c>
      <c r="O529" s="15">
        <f>IF(OR(A529="",F529=""),"",LOOKUP(F529,Lists!$F$2:$F$5,Lists!$G$2:$G$5))</f>
        <v/>
      </c>
      <c r="P529" s="16">
        <f>IF(A529="","",SUM(H529:K529))</f>
        <v/>
      </c>
      <c r="Q529" s="17">
        <f>IF(A529="","",IFERROR(P529/G529,""))</f>
        <v/>
      </c>
      <c r="R529" s="14">
        <f>IF(OR(A529="",G529=""),"",COUNTIFS($N$2:$N$1000,"&gt;0",$G$2:$G$1000,"&gt;"&amp;G529)+COUNTIFS($N$2:N529,"&gt;0",$G$2:G529,G529))</f>
        <v/>
      </c>
    </row>
    <row r="530">
      <c r="A530" s="9" t="n"/>
      <c r="B530" s="10" t="n"/>
      <c r="C530" s="10" t="n"/>
      <c r="D530" s="10" t="n"/>
      <c r="E530" s="10" t="n"/>
      <c r="F530" s="12" t="n"/>
      <c r="G530" s="13" t="n"/>
      <c r="H530" s="13" t="n"/>
      <c r="I530" s="13" t="n"/>
      <c r="J530" s="13" t="n"/>
      <c r="K530" s="13" t="n"/>
      <c r="L530" s="10" t="n"/>
      <c r="M530" s="10" t="n"/>
      <c r="N530" s="14">
        <f>IF(A530="","",WEEKNUM(A530,2))</f>
        <v/>
      </c>
      <c r="O530" s="15">
        <f>IF(OR(A530="",F530=""),"",LOOKUP(F530,Lists!$F$2:$F$5,Lists!$G$2:$G$5))</f>
        <v/>
      </c>
      <c r="P530" s="16">
        <f>IF(A530="","",SUM(H530:K530))</f>
        <v/>
      </c>
      <c r="Q530" s="17">
        <f>IF(A530="","",IFERROR(P530/G530,""))</f>
        <v/>
      </c>
      <c r="R530" s="14">
        <f>IF(OR(A530="",G530=""),"",COUNTIFS($N$2:$N$1000,"&gt;0",$G$2:$G$1000,"&gt;"&amp;G530)+COUNTIFS($N$2:N530,"&gt;0",$G$2:G530,G530))</f>
        <v/>
      </c>
    </row>
    <row r="531">
      <c r="A531" s="9" t="n"/>
      <c r="B531" s="10" t="n"/>
      <c r="C531" s="10" t="n"/>
      <c r="D531" s="10" t="n"/>
      <c r="E531" s="10" t="n"/>
      <c r="F531" s="12" t="n"/>
      <c r="G531" s="13" t="n"/>
      <c r="H531" s="13" t="n"/>
      <c r="I531" s="13" t="n"/>
      <c r="J531" s="13" t="n"/>
      <c r="K531" s="13" t="n"/>
      <c r="L531" s="10" t="n"/>
      <c r="M531" s="10" t="n"/>
      <c r="N531" s="14">
        <f>IF(A531="","",WEEKNUM(A531,2))</f>
        <v/>
      </c>
      <c r="O531" s="15">
        <f>IF(OR(A531="",F531=""),"",LOOKUP(F531,Lists!$F$2:$F$5,Lists!$G$2:$G$5))</f>
        <v/>
      </c>
      <c r="P531" s="16">
        <f>IF(A531="","",SUM(H531:K531))</f>
        <v/>
      </c>
      <c r="Q531" s="17">
        <f>IF(A531="","",IFERROR(P531/G531,""))</f>
        <v/>
      </c>
      <c r="R531" s="14">
        <f>IF(OR(A531="",G531=""),"",COUNTIFS($N$2:$N$1000,"&gt;0",$G$2:$G$1000,"&gt;"&amp;G531)+COUNTIFS($N$2:N531,"&gt;0",$G$2:G531,G531))</f>
        <v/>
      </c>
    </row>
    <row r="532">
      <c r="A532" s="9" t="n"/>
      <c r="B532" s="10" t="n"/>
      <c r="C532" s="10" t="n"/>
      <c r="D532" s="10" t="n"/>
      <c r="E532" s="10" t="n"/>
      <c r="F532" s="12" t="n"/>
      <c r="G532" s="13" t="n"/>
      <c r="H532" s="13" t="n"/>
      <c r="I532" s="13" t="n"/>
      <c r="J532" s="13" t="n"/>
      <c r="K532" s="13" t="n"/>
      <c r="L532" s="10" t="n"/>
      <c r="M532" s="10" t="n"/>
      <c r="N532" s="14">
        <f>IF(A532="","",WEEKNUM(A532,2))</f>
        <v/>
      </c>
      <c r="O532" s="15">
        <f>IF(OR(A532="",F532=""),"",LOOKUP(F532,Lists!$F$2:$F$5,Lists!$G$2:$G$5))</f>
        <v/>
      </c>
      <c r="P532" s="16">
        <f>IF(A532="","",SUM(H532:K532))</f>
        <v/>
      </c>
      <c r="Q532" s="17">
        <f>IF(A532="","",IFERROR(P532/G532,""))</f>
        <v/>
      </c>
      <c r="R532" s="14">
        <f>IF(OR(A532="",G532=""),"",COUNTIFS($N$2:$N$1000,"&gt;0",$G$2:$G$1000,"&gt;"&amp;G532)+COUNTIFS($N$2:N532,"&gt;0",$G$2:G532,G532))</f>
        <v/>
      </c>
    </row>
    <row r="533">
      <c r="A533" s="9" t="n"/>
      <c r="B533" s="10" t="n"/>
      <c r="C533" s="10" t="n"/>
      <c r="D533" s="10" t="n"/>
      <c r="E533" s="10" t="n"/>
      <c r="F533" s="12" t="n"/>
      <c r="G533" s="13" t="n"/>
      <c r="H533" s="13" t="n"/>
      <c r="I533" s="13" t="n"/>
      <c r="J533" s="13" t="n"/>
      <c r="K533" s="13" t="n"/>
      <c r="L533" s="10" t="n"/>
      <c r="M533" s="10" t="n"/>
      <c r="N533" s="14">
        <f>IF(A533="","",WEEKNUM(A533,2))</f>
        <v/>
      </c>
      <c r="O533" s="15">
        <f>IF(OR(A533="",F533=""),"",LOOKUP(F533,Lists!$F$2:$F$5,Lists!$G$2:$G$5))</f>
        <v/>
      </c>
      <c r="P533" s="16">
        <f>IF(A533="","",SUM(H533:K533))</f>
        <v/>
      </c>
      <c r="Q533" s="17">
        <f>IF(A533="","",IFERROR(P533/G533,""))</f>
        <v/>
      </c>
      <c r="R533" s="14">
        <f>IF(OR(A533="",G533=""),"",COUNTIFS($N$2:$N$1000,"&gt;0",$G$2:$G$1000,"&gt;"&amp;G533)+COUNTIFS($N$2:N533,"&gt;0",$G$2:G533,G533))</f>
        <v/>
      </c>
    </row>
    <row r="534">
      <c r="A534" s="9" t="n"/>
      <c r="B534" s="10" t="n"/>
      <c r="C534" s="10" t="n"/>
      <c r="D534" s="10" t="n"/>
      <c r="E534" s="10" t="n"/>
      <c r="F534" s="12" t="n"/>
      <c r="G534" s="13" t="n"/>
      <c r="H534" s="13" t="n"/>
      <c r="I534" s="13" t="n"/>
      <c r="J534" s="13" t="n"/>
      <c r="K534" s="13" t="n"/>
      <c r="L534" s="10" t="n"/>
      <c r="M534" s="10" t="n"/>
      <c r="N534" s="14">
        <f>IF(A534="","",WEEKNUM(A534,2))</f>
        <v/>
      </c>
      <c r="O534" s="15">
        <f>IF(OR(A534="",F534=""),"",LOOKUP(F534,Lists!$F$2:$F$5,Lists!$G$2:$G$5))</f>
        <v/>
      </c>
      <c r="P534" s="16">
        <f>IF(A534="","",SUM(H534:K534))</f>
        <v/>
      </c>
      <c r="Q534" s="17">
        <f>IF(A534="","",IFERROR(P534/G534,""))</f>
        <v/>
      </c>
      <c r="R534" s="14">
        <f>IF(OR(A534="",G534=""),"",COUNTIFS($N$2:$N$1000,"&gt;0",$G$2:$G$1000,"&gt;"&amp;G534)+COUNTIFS($N$2:N534,"&gt;0",$G$2:G534,G534))</f>
        <v/>
      </c>
    </row>
    <row r="535">
      <c r="A535" s="9" t="n"/>
      <c r="B535" s="10" t="n"/>
      <c r="C535" s="10" t="n"/>
      <c r="D535" s="10" t="n"/>
      <c r="E535" s="10" t="n"/>
      <c r="F535" s="12" t="n"/>
      <c r="G535" s="13" t="n"/>
      <c r="H535" s="13" t="n"/>
      <c r="I535" s="13" t="n"/>
      <c r="J535" s="13" t="n"/>
      <c r="K535" s="13" t="n"/>
      <c r="L535" s="10" t="n"/>
      <c r="M535" s="10" t="n"/>
      <c r="N535" s="14">
        <f>IF(A535="","",WEEKNUM(A535,2))</f>
        <v/>
      </c>
      <c r="O535" s="15">
        <f>IF(OR(A535="",F535=""),"",LOOKUP(F535,Lists!$F$2:$F$5,Lists!$G$2:$G$5))</f>
        <v/>
      </c>
      <c r="P535" s="16">
        <f>IF(A535="","",SUM(H535:K535))</f>
        <v/>
      </c>
      <c r="Q535" s="17">
        <f>IF(A535="","",IFERROR(P535/G535,""))</f>
        <v/>
      </c>
      <c r="R535" s="14">
        <f>IF(OR(A535="",G535=""),"",COUNTIFS($N$2:$N$1000,"&gt;0",$G$2:$G$1000,"&gt;"&amp;G535)+COUNTIFS($N$2:N535,"&gt;0",$G$2:G535,G535))</f>
        <v/>
      </c>
    </row>
    <row r="536">
      <c r="A536" s="9" t="n"/>
      <c r="B536" s="10" t="n"/>
      <c r="C536" s="10" t="n"/>
      <c r="D536" s="10" t="n"/>
      <c r="E536" s="10" t="n"/>
      <c r="F536" s="12" t="n"/>
      <c r="G536" s="13" t="n"/>
      <c r="H536" s="13" t="n"/>
      <c r="I536" s="13" t="n"/>
      <c r="J536" s="13" t="n"/>
      <c r="K536" s="13" t="n"/>
      <c r="L536" s="10" t="n"/>
      <c r="M536" s="10" t="n"/>
      <c r="N536" s="14">
        <f>IF(A536="","",WEEKNUM(A536,2))</f>
        <v/>
      </c>
      <c r="O536" s="15">
        <f>IF(OR(A536="",F536=""),"",LOOKUP(F536,Lists!$F$2:$F$5,Lists!$G$2:$G$5))</f>
        <v/>
      </c>
      <c r="P536" s="16">
        <f>IF(A536="","",SUM(H536:K536))</f>
        <v/>
      </c>
      <c r="Q536" s="17">
        <f>IF(A536="","",IFERROR(P536/G536,""))</f>
        <v/>
      </c>
      <c r="R536" s="14">
        <f>IF(OR(A536="",G536=""),"",COUNTIFS($N$2:$N$1000,"&gt;0",$G$2:$G$1000,"&gt;"&amp;G536)+COUNTIFS($N$2:N536,"&gt;0",$G$2:G536,G536))</f>
        <v/>
      </c>
    </row>
    <row r="537">
      <c r="A537" s="9" t="n"/>
      <c r="B537" s="10" t="n"/>
      <c r="C537" s="10" t="n"/>
      <c r="D537" s="10" t="n"/>
      <c r="E537" s="10" t="n"/>
      <c r="F537" s="12" t="n"/>
      <c r="G537" s="13" t="n"/>
      <c r="H537" s="13" t="n"/>
      <c r="I537" s="13" t="n"/>
      <c r="J537" s="13" t="n"/>
      <c r="K537" s="13" t="n"/>
      <c r="L537" s="10" t="n"/>
      <c r="M537" s="10" t="n"/>
      <c r="N537" s="14">
        <f>IF(A537="","",WEEKNUM(A537,2))</f>
        <v/>
      </c>
      <c r="O537" s="15">
        <f>IF(OR(A537="",F537=""),"",LOOKUP(F537,Lists!$F$2:$F$5,Lists!$G$2:$G$5))</f>
        <v/>
      </c>
      <c r="P537" s="16">
        <f>IF(A537="","",SUM(H537:K537))</f>
        <v/>
      </c>
      <c r="Q537" s="17">
        <f>IF(A537="","",IFERROR(P537/G537,""))</f>
        <v/>
      </c>
      <c r="R537" s="14">
        <f>IF(OR(A537="",G537=""),"",COUNTIFS($N$2:$N$1000,"&gt;0",$G$2:$G$1000,"&gt;"&amp;G537)+COUNTIFS($N$2:N537,"&gt;0",$G$2:G537,G537))</f>
        <v/>
      </c>
    </row>
    <row r="538">
      <c r="A538" s="9" t="n"/>
      <c r="B538" s="10" t="n"/>
      <c r="C538" s="10" t="n"/>
      <c r="D538" s="10" t="n"/>
      <c r="E538" s="10" t="n"/>
      <c r="F538" s="12" t="n"/>
      <c r="G538" s="13" t="n"/>
      <c r="H538" s="13" t="n"/>
      <c r="I538" s="13" t="n"/>
      <c r="J538" s="13" t="n"/>
      <c r="K538" s="13" t="n"/>
      <c r="L538" s="10" t="n"/>
      <c r="M538" s="10" t="n"/>
      <c r="N538" s="14">
        <f>IF(A538="","",WEEKNUM(A538,2))</f>
        <v/>
      </c>
      <c r="O538" s="15">
        <f>IF(OR(A538="",F538=""),"",LOOKUP(F538,Lists!$F$2:$F$5,Lists!$G$2:$G$5))</f>
        <v/>
      </c>
      <c r="P538" s="16">
        <f>IF(A538="","",SUM(H538:K538))</f>
        <v/>
      </c>
      <c r="Q538" s="17">
        <f>IF(A538="","",IFERROR(P538/G538,""))</f>
        <v/>
      </c>
      <c r="R538" s="14">
        <f>IF(OR(A538="",G538=""),"",COUNTIFS($N$2:$N$1000,"&gt;0",$G$2:$G$1000,"&gt;"&amp;G538)+COUNTIFS($N$2:N538,"&gt;0",$G$2:G538,G538))</f>
        <v/>
      </c>
    </row>
    <row r="539">
      <c r="A539" s="9" t="n"/>
      <c r="B539" s="10" t="n"/>
      <c r="C539" s="10" t="n"/>
      <c r="D539" s="10" t="n"/>
      <c r="E539" s="10" t="n"/>
      <c r="F539" s="12" t="n"/>
      <c r="G539" s="13" t="n"/>
      <c r="H539" s="13" t="n"/>
      <c r="I539" s="13" t="n"/>
      <c r="J539" s="13" t="n"/>
      <c r="K539" s="13" t="n"/>
      <c r="L539" s="10" t="n"/>
      <c r="M539" s="10" t="n"/>
      <c r="N539" s="14">
        <f>IF(A539="","",WEEKNUM(A539,2))</f>
        <v/>
      </c>
      <c r="O539" s="15">
        <f>IF(OR(A539="",F539=""),"",LOOKUP(F539,Lists!$F$2:$F$5,Lists!$G$2:$G$5))</f>
        <v/>
      </c>
      <c r="P539" s="16">
        <f>IF(A539="","",SUM(H539:K539))</f>
        <v/>
      </c>
      <c r="Q539" s="17">
        <f>IF(A539="","",IFERROR(P539/G539,""))</f>
        <v/>
      </c>
      <c r="R539" s="14">
        <f>IF(OR(A539="",G539=""),"",COUNTIFS($N$2:$N$1000,"&gt;0",$G$2:$G$1000,"&gt;"&amp;G539)+COUNTIFS($N$2:N539,"&gt;0",$G$2:G539,G539))</f>
        <v/>
      </c>
    </row>
    <row r="540">
      <c r="A540" s="9" t="n"/>
      <c r="B540" s="10" t="n"/>
      <c r="C540" s="10" t="n"/>
      <c r="D540" s="10" t="n"/>
      <c r="E540" s="10" t="n"/>
      <c r="F540" s="12" t="n"/>
      <c r="G540" s="13" t="n"/>
      <c r="H540" s="13" t="n"/>
      <c r="I540" s="13" t="n"/>
      <c r="J540" s="13" t="n"/>
      <c r="K540" s="13" t="n"/>
      <c r="L540" s="10" t="n"/>
      <c r="M540" s="10" t="n"/>
      <c r="N540" s="14">
        <f>IF(A540="","",WEEKNUM(A540,2))</f>
        <v/>
      </c>
      <c r="O540" s="15">
        <f>IF(OR(A540="",F540=""),"",LOOKUP(F540,Lists!$F$2:$F$5,Lists!$G$2:$G$5))</f>
        <v/>
      </c>
      <c r="P540" s="16">
        <f>IF(A540="","",SUM(H540:K540))</f>
        <v/>
      </c>
      <c r="Q540" s="17">
        <f>IF(A540="","",IFERROR(P540/G540,""))</f>
        <v/>
      </c>
      <c r="R540" s="14">
        <f>IF(OR(A540="",G540=""),"",COUNTIFS($N$2:$N$1000,"&gt;0",$G$2:$G$1000,"&gt;"&amp;G540)+COUNTIFS($N$2:N540,"&gt;0",$G$2:G540,G540))</f>
        <v/>
      </c>
    </row>
    <row r="541">
      <c r="A541" s="9" t="n"/>
      <c r="B541" s="10" t="n"/>
      <c r="C541" s="10" t="n"/>
      <c r="D541" s="10" t="n"/>
      <c r="E541" s="10" t="n"/>
      <c r="F541" s="12" t="n"/>
      <c r="G541" s="13" t="n"/>
      <c r="H541" s="13" t="n"/>
      <c r="I541" s="13" t="n"/>
      <c r="J541" s="13" t="n"/>
      <c r="K541" s="13" t="n"/>
      <c r="L541" s="10" t="n"/>
      <c r="M541" s="10" t="n"/>
      <c r="N541" s="14">
        <f>IF(A541="","",WEEKNUM(A541,2))</f>
        <v/>
      </c>
      <c r="O541" s="15">
        <f>IF(OR(A541="",F541=""),"",LOOKUP(F541,Lists!$F$2:$F$5,Lists!$G$2:$G$5))</f>
        <v/>
      </c>
      <c r="P541" s="16">
        <f>IF(A541="","",SUM(H541:K541))</f>
        <v/>
      </c>
      <c r="Q541" s="17">
        <f>IF(A541="","",IFERROR(P541/G541,""))</f>
        <v/>
      </c>
      <c r="R541" s="14">
        <f>IF(OR(A541="",G541=""),"",COUNTIFS($N$2:$N$1000,"&gt;0",$G$2:$G$1000,"&gt;"&amp;G541)+COUNTIFS($N$2:N541,"&gt;0",$G$2:G541,G541))</f>
        <v/>
      </c>
    </row>
    <row r="542">
      <c r="A542" s="9" t="n"/>
      <c r="B542" s="10" t="n"/>
      <c r="C542" s="10" t="n"/>
      <c r="D542" s="10" t="n"/>
      <c r="E542" s="10" t="n"/>
      <c r="F542" s="12" t="n"/>
      <c r="G542" s="13" t="n"/>
      <c r="H542" s="13" t="n"/>
      <c r="I542" s="13" t="n"/>
      <c r="J542" s="13" t="n"/>
      <c r="K542" s="13" t="n"/>
      <c r="L542" s="10" t="n"/>
      <c r="M542" s="10" t="n"/>
      <c r="N542" s="14">
        <f>IF(A542="","",WEEKNUM(A542,2))</f>
        <v/>
      </c>
      <c r="O542" s="15">
        <f>IF(OR(A542="",F542=""),"",LOOKUP(F542,Lists!$F$2:$F$5,Lists!$G$2:$G$5))</f>
        <v/>
      </c>
      <c r="P542" s="16">
        <f>IF(A542="","",SUM(H542:K542))</f>
        <v/>
      </c>
      <c r="Q542" s="17">
        <f>IF(A542="","",IFERROR(P542/G542,""))</f>
        <v/>
      </c>
      <c r="R542" s="14">
        <f>IF(OR(A542="",G542=""),"",COUNTIFS($N$2:$N$1000,"&gt;0",$G$2:$G$1000,"&gt;"&amp;G542)+COUNTIFS($N$2:N542,"&gt;0",$G$2:G542,G542))</f>
        <v/>
      </c>
    </row>
    <row r="543">
      <c r="A543" s="9" t="n"/>
      <c r="B543" s="10" t="n"/>
      <c r="C543" s="10" t="n"/>
      <c r="D543" s="10" t="n"/>
      <c r="E543" s="10" t="n"/>
      <c r="F543" s="12" t="n"/>
      <c r="G543" s="13" t="n"/>
      <c r="H543" s="13" t="n"/>
      <c r="I543" s="13" t="n"/>
      <c r="J543" s="13" t="n"/>
      <c r="K543" s="13" t="n"/>
      <c r="L543" s="10" t="n"/>
      <c r="M543" s="10" t="n"/>
      <c r="N543" s="14">
        <f>IF(A543="","",WEEKNUM(A543,2))</f>
        <v/>
      </c>
      <c r="O543" s="15">
        <f>IF(OR(A543="",F543=""),"",LOOKUP(F543,Lists!$F$2:$F$5,Lists!$G$2:$G$5))</f>
        <v/>
      </c>
      <c r="P543" s="16">
        <f>IF(A543="","",SUM(H543:K543))</f>
        <v/>
      </c>
      <c r="Q543" s="17">
        <f>IF(A543="","",IFERROR(P543/G543,""))</f>
        <v/>
      </c>
      <c r="R543" s="14">
        <f>IF(OR(A543="",G543=""),"",COUNTIFS($N$2:$N$1000,"&gt;0",$G$2:$G$1000,"&gt;"&amp;G543)+COUNTIFS($N$2:N543,"&gt;0",$G$2:G543,G543))</f>
        <v/>
      </c>
    </row>
    <row r="544">
      <c r="A544" s="9" t="n"/>
      <c r="B544" s="10" t="n"/>
      <c r="C544" s="10" t="n"/>
      <c r="D544" s="10" t="n"/>
      <c r="E544" s="10" t="n"/>
      <c r="F544" s="12" t="n"/>
      <c r="G544" s="13" t="n"/>
      <c r="H544" s="13" t="n"/>
      <c r="I544" s="13" t="n"/>
      <c r="J544" s="13" t="n"/>
      <c r="K544" s="13" t="n"/>
      <c r="L544" s="10" t="n"/>
      <c r="M544" s="10" t="n"/>
      <c r="N544" s="14">
        <f>IF(A544="","",WEEKNUM(A544,2))</f>
        <v/>
      </c>
      <c r="O544" s="15">
        <f>IF(OR(A544="",F544=""),"",LOOKUP(F544,Lists!$F$2:$F$5,Lists!$G$2:$G$5))</f>
        <v/>
      </c>
      <c r="P544" s="16">
        <f>IF(A544="","",SUM(H544:K544))</f>
        <v/>
      </c>
      <c r="Q544" s="17">
        <f>IF(A544="","",IFERROR(P544/G544,""))</f>
        <v/>
      </c>
      <c r="R544" s="14">
        <f>IF(OR(A544="",G544=""),"",COUNTIFS($N$2:$N$1000,"&gt;0",$G$2:$G$1000,"&gt;"&amp;G544)+COUNTIFS($N$2:N544,"&gt;0",$G$2:G544,G544))</f>
        <v/>
      </c>
    </row>
    <row r="545">
      <c r="A545" s="9" t="n"/>
      <c r="B545" s="10" t="n"/>
      <c r="C545" s="10" t="n"/>
      <c r="D545" s="10" t="n"/>
      <c r="E545" s="10" t="n"/>
      <c r="F545" s="12" t="n"/>
      <c r="G545" s="13" t="n"/>
      <c r="H545" s="13" t="n"/>
      <c r="I545" s="13" t="n"/>
      <c r="J545" s="13" t="n"/>
      <c r="K545" s="13" t="n"/>
      <c r="L545" s="10" t="n"/>
      <c r="M545" s="10" t="n"/>
      <c r="N545" s="14">
        <f>IF(A545="","",WEEKNUM(A545,2))</f>
        <v/>
      </c>
      <c r="O545" s="15">
        <f>IF(OR(A545="",F545=""),"",LOOKUP(F545,Lists!$F$2:$F$5,Lists!$G$2:$G$5))</f>
        <v/>
      </c>
      <c r="P545" s="16">
        <f>IF(A545="","",SUM(H545:K545))</f>
        <v/>
      </c>
      <c r="Q545" s="17">
        <f>IF(A545="","",IFERROR(P545/G545,""))</f>
        <v/>
      </c>
      <c r="R545" s="14">
        <f>IF(OR(A545="",G545=""),"",COUNTIFS($N$2:$N$1000,"&gt;0",$G$2:$G$1000,"&gt;"&amp;G545)+COUNTIFS($N$2:N545,"&gt;0",$G$2:G545,G545))</f>
        <v/>
      </c>
    </row>
    <row r="546">
      <c r="A546" s="9" t="n"/>
      <c r="B546" s="10" t="n"/>
      <c r="C546" s="10" t="n"/>
      <c r="D546" s="10" t="n"/>
      <c r="E546" s="10" t="n"/>
      <c r="F546" s="12" t="n"/>
      <c r="G546" s="13" t="n"/>
      <c r="H546" s="13" t="n"/>
      <c r="I546" s="13" t="n"/>
      <c r="J546" s="13" t="n"/>
      <c r="K546" s="13" t="n"/>
      <c r="L546" s="10" t="n"/>
      <c r="M546" s="10" t="n"/>
      <c r="N546" s="14">
        <f>IF(A546="","",WEEKNUM(A546,2))</f>
        <v/>
      </c>
      <c r="O546" s="15">
        <f>IF(OR(A546="",F546=""),"",LOOKUP(F546,Lists!$F$2:$F$5,Lists!$G$2:$G$5))</f>
        <v/>
      </c>
      <c r="P546" s="16">
        <f>IF(A546="","",SUM(H546:K546))</f>
        <v/>
      </c>
      <c r="Q546" s="17">
        <f>IF(A546="","",IFERROR(P546/G546,""))</f>
        <v/>
      </c>
      <c r="R546" s="14">
        <f>IF(OR(A546="",G546=""),"",COUNTIFS($N$2:$N$1000,"&gt;0",$G$2:$G$1000,"&gt;"&amp;G546)+COUNTIFS($N$2:N546,"&gt;0",$G$2:G546,G546))</f>
        <v/>
      </c>
    </row>
    <row r="547">
      <c r="A547" s="9" t="n"/>
      <c r="B547" s="10" t="n"/>
      <c r="C547" s="10" t="n"/>
      <c r="D547" s="10" t="n"/>
      <c r="E547" s="10" t="n"/>
      <c r="F547" s="12" t="n"/>
      <c r="G547" s="13" t="n"/>
      <c r="H547" s="13" t="n"/>
      <c r="I547" s="13" t="n"/>
      <c r="J547" s="13" t="n"/>
      <c r="K547" s="13" t="n"/>
      <c r="L547" s="10" t="n"/>
      <c r="M547" s="10" t="n"/>
      <c r="N547" s="14">
        <f>IF(A547="","",WEEKNUM(A547,2))</f>
        <v/>
      </c>
      <c r="O547" s="15">
        <f>IF(OR(A547="",F547=""),"",LOOKUP(F547,Lists!$F$2:$F$5,Lists!$G$2:$G$5))</f>
        <v/>
      </c>
      <c r="P547" s="16">
        <f>IF(A547="","",SUM(H547:K547))</f>
        <v/>
      </c>
      <c r="Q547" s="17">
        <f>IF(A547="","",IFERROR(P547/G547,""))</f>
        <v/>
      </c>
      <c r="R547" s="14">
        <f>IF(OR(A547="",G547=""),"",COUNTIFS($N$2:$N$1000,"&gt;0",$G$2:$G$1000,"&gt;"&amp;G547)+COUNTIFS($N$2:N547,"&gt;0",$G$2:G547,G547))</f>
        <v/>
      </c>
    </row>
    <row r="548">
      <c r="A548" s="9" t="n"/>
      <c r="B548" s="10" t="n"/>
      <c r="C548" s="10" t="n"/>
      <c r="D548" s="10" t="n"/>
      <c r="E548" s="10" t="n"/>
      <c r="F548" s="12" t="n"/>
      <c r="G548" s="13" t="n"/>
      <c r="H548" s="13" t="n"/>
      <c r="I548" s="13" t="n"/>
      <c r="J548" s="13" t="n"/>
      <c r="K548" s="13" t="n"/>
      <c r="L548" s="10" t="n"/>
      <c r="M548" s="10" t="n"/>
      <c r="N548" s="14">
        <f>IF(A548="","",WEEKNUM(A548,2))</f>
        <v/>
      </c>
      <c r="O548" s="15">
        <f>IF(OR(A548="",F548=""),"",LOOKUP(F548,Lists!$F$2:$F$5,Lists!$G$2:$G$5))</f>
        <v/>
      </c>
      <c r="P548" s="16">
        <f>IF(A548="","",SUM(H548:K548))</f>
        <v/>
      </c>
      <c r="Q548" s="17">
        <f>IF(A548="","",IFERROR(P548/G548,""))</f>
        <v/>
      </c>
      <c r="R548" s="14">
        <f>IF(OR(A548="",G548=""),"",COUNTIFS($N$2:$N$1000,"&gt;0",$G$2:$G$1000,"&gt;"&amp;G548)+COUNTIFS($N$2:N548,"&gt;0",$G$2:G548,G548))</f>
        <v/>
      </c>
    </row>
    <row r="549">
      <c r="A549" s="9" t="n"/>
      <c r="B549" s="10" t="n"/>
      <c r="C549" s="10" t="n"/>
      <c r="D549" s="10" t="n"/>
      <c r="E549" s="10" t="n"/>
      <c r="F549" s="12" t="n"/>
      <c r="G549" s="13" t="n"/>
      <c r="H549" s="13" t="n"/>
      <c r="I549" s="13" t="n"/>
      <c r="J549" s="13" t="n"/>
      <c r="K549" s="13" t="n"/>
      <c r="L549" s="10" t="n"/>
      <c r="M549" s="10" t="n"/>
      <c r="N549" s="14">
        <f>IF(A549="","",WEEKNUM(A549,2))</f>
        <v/>
      </c>
      <c r="O549" s="15">
        <f>IF(OR(A549="",F549=""),"",LOOKUP(F549,Lists!$F$2:$F$5,Lists!$G$2:$G$5))</f>
        <v/>
      </c>
      <c r="P549" s="16">
        <f>IF(A549="","",SUM(H549:K549))</f>
        <v/>
      </c>
      <c r="Q549" s="17">
        <f>IF(A549="","",IFERROR(P549/G549,""))</f>
        <v/>
      </c>
      <c r="R549" s="14">
        <f>IF(OR(A549="",G549=""),"",COUNTIFS($N$2:$N$1000,"&gt;0",$G$2:$G$1000,"&gt;"&amp;G549)+COUNTIFS($N$2:N549,"&gt;0",$G$2:G549,G549))</f>
        <v/>
      </c>
    </row>
    <row r="550">
      <c r="A550" s="9" t="n"/>
      <c r="B550" s="10" t="n"/>
      <c r="C550" s="10" t="n"/>
      <c r="D550" s="10" t="n"/>
      <c r="E550" s="10" t="n"/>
      <c r="F550" s="12" t="n"/>
      <c r="G550" s="13" t="n"/>
      <c r="H550" s="13" t="n"/>
      <c r="I550" s="13" t="n"/>
      <c r="J550" s="13" t="n"/>
      <c r="K550" s="13" t="n"/>
      <c r="L550" s="10" t="n"/>
      <c r="M550" s="10" t="n"/>
      <c r="N550" s="14">
        <f>IF(A550="","",WEEKNUM(A550,2))</f>
        <v/>
      </c>
      <c r="O550" s="15">
        <f>IF(OR(A550="",F550=""),"",LOOKUP(F550,Lists!$F$2:$F$5,Lists!$G$2:$G$5))</f>
        <v/>
      </c>
      <c r="P550" s="16">
        <f>IF(A550="","",SUM(H550:K550))</f>
        <v/>
      </c>
      <c r="Q550" s="17">
        <f>IF(A550="","",IFERROR(P550/G550,""))</f>
        <v/>
      </c>
      <c r="R550" s="14">
        <f>IF(OR(A550="",G550=""),"",COUNTIFS($N$2:$N$1000,"&gt;0",$G$2:$G$1000,"&gt;"&amp;G550)+COUNTIFS($N$2:N550,"&gt;0",$G$2:G550,G550))</f>
        <v/>
      </c>
    </row>
    <row r="551">
      <c r="A551" s="9" t="n"/>
      <c r="B551" s="10" t="n"/>
      <c r="C551" s="10" t="n"/>
      <c r="D551" s="10" t="n"/>
      <c r="E551" s="10" t="n"/>
      <c r="F551" s="12" t="n"/>
      <c r="G551" s="13" t="n"/>
      <c r="H551" s="13" t="n"/>
      <c r="I551" s="13" t="n"/>
      <c r="J551" s="13" t="n"/>
      <c r="K551" s="13" t="n"/>
      <c r="L551" s="10" t="n"/>
      <c r="M551" s="10" t="n"/>
      <c r="N551" s="14">
        <f>IF(A551="","",WEEKNUM(A551,2))</f>
        <v/>
      </c>
      <c r="O551" s="15">
        <f>IF(OR(A551="",F551=""),"",LOOKUP(F551,Lists!$F$2:$F$5,Lists!$G$2:$G$5))</f>
        <v/>
      </c>
      <c r="P551" s="16">
        <f>IF(A551="","",SUM(H551:K551))</f>
        <v/>
      </c>
      <c r="Q551" s="17">
        <f>IF(A551="","",IFERROR(P551/G551,""))</f>
        <v/>
      </c>
      <c r="R551" s="14">
        <f>IF(OR(A551="",G551=""),"",COUNTIFS($N$2:$N$1000,"&gt;0",$G$2:$G$1000,"&gt;"&amp;G551)+COUNTIFS($N$2:N551,"&gt;0",$G$2:G551,G551))</f>
        <v/>
      </c>
    </row>
    <row r="552">
      <c r="A552" s="9" t="n"/>
      <c r="B552" s="10" t="n"/>
      <c r="C552" s="10" t="n"/>
      <c r="D552" s="10" t="n"/>
      <c r="E552" s="10" t="n"/>
      <c r="F552" s="12" t="n"/>
      <c r="G552" s="13" t="n"/>
      <c r="H552" s="13" t="n"/>
      <c r="I552" s="13" t="n"/>
      <c r="J552" s="13" t="n"/>
      <c r="K552" s="13" t="n"/>
      <c r="L552" s="10" t="n"/>
      <c r="M552" s="10" t="n"/>
      <c r="N552" s="14">
        <f>IF(A552="","",WEEKNUM(A552,2))</f>
        <v/>
      </c>
      <c r="O552" s="15">
        <f>IF(OR(A552="",F552=""),"",LOOKUP(F552,Lists!$F$2:$F$5,Lists!$G$2:$G$5))</f>
        <v/>
      </c>
      <c r="P552" s="16">
        <f>IF(A552="","",SUM(H552:K552))</f>
        <v/>
      </c>
      <c r="Q552" s="17">
        <f>IF(A552="","",IFERROR(P552/G552,""))</f>
        <v/>
      </c>
      <c r="R552" s="14">
        <f>IF(OR(A552="",G552=""),"",COUNTIFS($N$2:$N$1000,"&gt;0",$G$2:$G$1000,"&gt;"&amp;G552)+COUNTIFS($N$2:N552,"&gt;0",$G$2:G552,G552))</f>
        <v/>
      </c>
    </row>
    <row r="553">
      <c r="A553" s="9" t="n"/>
      <c r="B553" s="10" t="n"/>
      <c r="C553" s="10" t="n"/>
      <c r="D553" s="10" t="n"/>
      <c r="E553" s="10" t="n"/>
      <c r="F553" s="12" t="n"/>
      <c r="G553" s="13" t="n"/>
      <c r="H553" s="13" t="n"/>
      <c r="I553" s="13" t="n"/>
      <c r="J553" s="13" t="n"/>
      <c r="K553" s="13" t="n"/>
      <c r="L553" s="10" t="n"/>
      <c r="M553" s="10" t="n"/>
      <c r="N553" s="14">
        <f>IF(A553="","",WEEKNUM(A553,2))</f>
        <v/>
      </c>
      <c r="O553" s="15">
        <f>IF(OR(A553="",F553=""),"",LOOKUP(F553,Lists!$F$2:$F$5,Lists!$G$2:$G$5))</f>
        <v/>
      </c>
      <c r="P553" s="16">
        <f>IF(A553="","",SUM(H553:K553))</f>
        <v/>
      </c>
      <c r="Q553" s="17">
        <f>IF(A553="","",IFERROR(P553/G553,""))</f>
        <v/>
      </c>
      <c r="R553" s="14">
        <f>IF(OR(A553="",G553=""),"",COUNTIFS($N$2:$N$1000,"&gt;0",$G$2:$G$1000,"&gt;"&amp;G553)+COUNTIFS($N$2:N553,"&gt;0",$G$2:G553,G553))</f>
        <v/>
      </c>
    </row>
    <row r="554">
      <c r="A554" s="9" t="n"/>
      <c r="B554" s="10" t="n"/>
      <c r="C554" s="10" t="n"/>
      <c r="D554" s="10" t="n"/>
      <c r="E554" s="10" t="n"/>
      <c r="F554" s="12" t="n"/>
      <c r="G554" s="13" t="n"/>
      <c r="H554" s="13" t="n"/>
      <c r="I554" s="13" t="n"/>
      <c r="J554" s="13" t="n"/>
      <c r="K554" s="13" t="n"/>
      <c r="L554" s="10" t="n"/>
      <c r="M554" s="10" t="n"/>
      <c r="N554" s="14">
        <f>IF(A554="","",WEEKNUM(A554,2))</f>
        <v/>
      </c>
      <c r="O554" s="15">
        <f>IF(OR(A554="",F554=""),"",LOOKUP(F554,Lists!$F$2:$F$5,Lists!$G$2:$G$5))</f>
        <v/>
      </c>
      <c r="P554" s="16">
        <f>IF(A554="","",SUM(H554:K554))</f>
        <v/>
      </c>
      <c r="Q554" s="17">
        <f>IF(A554="","",IFERROR(P554/G554,""))</f>
        <v/>
      </c>
      <c r="R554" s="14">
        <f>IF(OR(A554="",G554=""),"",COUNTIFS($N$2:$N$1000,"&gt;0",$G$2:$G$1000,"&gt;"&amp;G554)+COUNTIFS($N$2:N554,"&gt;0",$G$2:G554,G554))</f>
        <v/>
      </c>
    </row>
    <row r="555">
      <c r="A555" s="9" t="n"/>
      <c r="B555" s="10" t="n"/>
      <c r="C555" s="10" t="n"/>
      <c r="D555" s="10" t="n"/>
      <c r="E555" s="10" t="n"/>
      <c r="F555" s="12" t="n"/>
      <c r="G555" s="13" t="n"/>
      <c r="H555" s="13" t="n"/>
      <c r="I555" s="13" t="n"/>
      <c r="J555" s="13" t="n"/>
      <c r="K555" s="13" t="n"/>
      <c r="L555" s="10" t="n"/>
      <c r="M555" s="10" t="n"/>
      <c r="N555" s="14">
        <f>IF(A555="","",WEEKNUM(A555,2))</f>
        <v/>
      </c>
      <c r="O555" s="15">
        <f>IF(OR(A555="",F555=""),"",LOOKUP(F555,Lists!$F$2:$F$5,Lists!$G$2:$G$5))</f>
        <v/>
      </c>
      <c r="P555" s="16">
        <f>IF(A555="","",SUM(H555:K555))</f>
        <v/>
      </c>
      <c r="Q555" s="17">
        <f>IF(A555="","",IFERROR(P555/G555,""))</f>
        <v/>
      </c>
      <c r="R555" s="14">
        <f>IF(OR(A555="",G555=""),"",COUNTIFS($N$2:$N$1000,"&gt;0",$G$2:$G$1000,"&gt;"&amp;G555)+COUNTIFS($N$2:N555,"&gt;0",$G$2:G555,G555))</f>
        <v/>
      </c>
    </row>
    <row r="556">
      <c r="A556" s="9" t="n"/>
      <c r="B556" s="10" t="n"/>
      <c r="C556" s="10" t="n"/>
      <c r="D556" s="10" t="n"/>
      <c r="E556" s="10" t="n"/>
      <c r="F556" s="12" t="n"/>
      <c r="G556" s="13" t="n"/>
      <c r="H556" s="13" t="n"/>
      <c r="I556" s="13" t="n"/>
      <c r="J556" s="13" t="n"/>
      <c r="K556" s="13" t="n"/>
      <c r="L556" s="10" t="n"/>
      <c r="M556" s="10" t="n"/>
      <c r="N556" s="14">
        <f>IF(A556="","",WEEKNUM(A556,2))</f>
        <v/>
      </c>
      <c r="O556" s="15">
        <f>IF(OR(A556="",F556=""),"",LOOKUP(F556,Lists!$F$2:$F$5,Lists!$G$2:$G$5))</f>
        <v/>
      </c>
      <c r="P556" s="16">
        <f>IF(A556="","",SUM(H556:K556))</f>
        <v/>
      </c>
      <c r="Q556" s="17">
        <f>IF(A556="","",IFERROR(P556/G556,""))</f>
        <v/>
      </c>
      <c r="R556" s="14">
        <f>IF(OR(A556="",G556=""),"",COUNTIFS($N$2:$N$1000,"&gt;0",$G$2:$G$1000,"&gt;"&amp;G556)+COUNTIFS($N$2:N556,"&gt;0",$G$2:G556,G556))</f>
        <v/>
      </c>
    </row>
    <row r="557">
      <c r="A557" s="9" t="n"/>
      <c r="B557" s="10" t="n"/>
      <c r="C557" s="10" t="n"/>
      <c r="D557" s="10" t="n"/>
      <c r="E557" s="10" t="n"/>
      <c r="F557" s="12" t="n"/>
      <c r="G557" s="13" t="n"/>
      <c r="H557" s="13" t="n"/>
      <c r="I557" s="13" t="n"/>
      <c r="J557" s="13" t="n"/>
      <c r="K557" s="13" t="n"/>
      <c r="L557" s="10" t="n"/>
      <c r="M557" s="10" t="n"/>
      <c r="N557" s="14">
        <f>IF(A557="","",WEEKNUM(A557,2))</f>
        <v/>
      </c>
      <c r="O557" s="15">
        <f>IF(OR(A557="",F557=""),"",LOOKUP(F557,Lists!$F$2:$F$5,Lists!$G$2:$G$5))</f>
        <v/>
      </c>
      <c r="P557" s="16">
        <f>IF(A557="","",SUM(H557:K557))</f>
        <v/>
      </c>
      <c r="Q557" s="17">
        <f>IF(A557="","",IFERROR(P557/G557,""))</f>
        <v/>
      </c>
      <c r="R557" s="14">
        <f>IF(OR(A557="",G557=""),"",COUNTIFS($N$2:$N$1000,"&gt;0",$G$2:$G$1000,"&gt;"&amp;G557)+COUNTIFS($N$2:N557,"&gt;0",$G$2:G557,G557))</f>
        <v/>
      </c>
    </row>
    <row r="558">
      <c r="A558" s="9" t="n"/>
      <c r="B558" s="10" t="n"/>
      <c r="C558" s="10" t="n"/>
      <c r="D558" s="10" t="n"/>
      <c r="E558" s="10" t="n"/>
      <c r="F558" s="12" t="n"/>
      <c r="G558" s="13" t="n"/>
      <c r="H558" s="13" t="n"/>
      <c r="I558" s="13" t="n"/>
      <c r="J558" s="13" t="n"/>
      <c r="K558" s="13" t="n"/>
      <c r="L558" s="10" t="n"/>
      <c r="M558" s="10" t="n"/>
      <c r="N558" s="14">
        <f>IF(A558="","",WEEKNUM(A558,2))</f>
        <v/>
      </c>
      <c r="O558" s="15">
        <f>IF(OR(A558="",F558=""),"",LOOKUP(F558,Lists!$F$2:$F$5,Lists!$G$2:$G$5))</f>
        <v/>
      </c>
      <c r="P558" s="16">
        <f>IF(A558="","",SUM(H558:K558))</f>
        <v/>
      </c>
      <c r="Q558" s="17">
        <f>IF(A558="","",IFERROR(P558/G558,""))</f>
        <v/>
      </c>
      <c r="R558" s="14">
        <f>IF(OR(A558="",G558=""),"",COUNTIFS($N$2:$N$1000,"&gt;0",$G$2:$G$1000,"&gt;"&amp;G558)+COUNTIFS($N$2:N558,"&gt;0",$G$2:G558,G558))</f>
        <v/>
      </c>
    </row>
    <row r="559">
      <c r="A559" s="9" t="n"/>
      <c r="B559" s="10" t="n"/>
      <c r="C559" s="10" t="n"/>
      <c r="D559" s="10" t="n"/>
      <c r="E559" s="10" t="n"/>
      <c r="F559" s="12" t="n"/>
      <c r="G559" s="13" t="n"/>
      <c r="H559" s="13" t="n"/>
      <c r="I559" s="13" t="n"/>
      <c r="J559" s="13" t="n"/>
      <c r="K559" s="13" t="n"/>
      <c r="L559" s="10" t="n"/>
      <c r="M559" s="10" t="n"/>
      <c r="N559" s="14">
        <f>IF(A559="","",WEEKNUM(A559,2))</f>
        <v/>
      </c>
      <c r="O559" s="15">
        <f>IF(OR(A559="",F559=""),"",LOOKUP(F559,Lists!$F$2:$F$5,Lists!$G$2:$G$5))</f>
        <v/>
      </c>
      <c r="P559" s="16">
        <f>IF(A559="","",SUM(H559:K559))</f>
        <v/>
      </c>
      <c r="Q559" s="17">
        <f>IF(A559="","",IFERROR(P559/G559,""))</f>
        <v/>
      </c>
      <c r="R559" s="14">
        <f>IF(OR(A559="",G559=""),"",COUNTIFS($N$2:$N$1000,"&gt;0",$G$2:$G$1000,"&gt;"&amp;G559)+COUNTIFS($N$2:N559,"&gt;0",$G$2:G559,G559))</f>
        <v/>
      </c>
    </row>
    <row r="560">
      <c r="A560" s="9" t="n"/>
      <c r="B560" s="10" t="n"/>
      <c r="C560" s="10" t="n"/>
      <c r="D560" s="10" t="n"/>
      <c r="E560" s="10" t="n"/>
      <c r="F560" s="12" t="n"/>
      <c r="G560" s="13" t="n"/>
      <c r="H560" s="13" t="n"/>
      <c r="I560" s="13" t="n"/>
      <c r="J560" s="13" t="n"/>
      <c r="K560" s="13" t="n"/>
      <c r="L560" s="10" t="n"/>
      <c r="M560" s="10" t="n"/>
      <c r="N560" s="14">
        <f>IF(A560="","",WEEKNUM(A560,2))</f>
        <v/>
      </c>
      <c r="O560" s="15">
        <f>IF(OR(A560="",F560=""),"",LOOKUP(F560,Lists!$F$2:$F$5,Lists!$G$2:$G$5))</f>
        <v/>
      </c>
      <c r="P560" s="16">
        <f>IF(A560="","",SUM(H560:K560))</f>
        <v/>
      </c>
      <c r="Q560" s="17">
        <f>IF(A560="","",IFERROR(P560/G560,""))</f>
        <v/>
      </c>
      <c r="R560" s="14">
        <f>IF(OR(A560="",G560=""),"",COUNTIFS($N$2:$N$1000,"&gt;0",$G$2:$G$1000,"&gt;"&amp;G560)+COUNTIFS($N$2:N560,"&gt;0",$G$2:G560,G560))</f>
        <v/>
      </c>
    </row>
    <row r="561">
      <c r="A561" s="9" t="n"/>
      <c r="B561" s="10" t="n"/>
      <c r="C561" s="10" t="n"/>
      <c r="D561" s="10" t="n"/>
      <c r="E561" s="10" t="n"/>
      <c r="F561" s="12" t="n"/>
      <c r="G561" s="13" t="n"/>
      <c r="H561" s="13" t="n"/>
      <c r="I561" s="13" t="n"/>
      <c r="J561" s="13" t="n"/>
      <c r="K561" s="13" t="n"/>
      <c r="L561" s="10" t="n"/>
      <c r="M561" s="10" t="n"/>
      <c r="N561" s="14">
        <f>IF(A561="","",WEEKNUM(A561,2))</f>
        <v/>
      </c>
      <c r="O561" s="15">
        <f>IF(OR(A561="",F561=""),"",LOOKUP(F561,Lists!$F$2:$F$5,Lists!$G$2:$G$5))</f>
        <v/>
      </c>
      <c r="P561" s="16">
        <f>IF(A561="","",SUM(H561:K561))</f>
        <v/>
      </c>
      <c r="Q561" s="17">
        <f>IF(A561="","",IFERROR(P561/G561,""))</f>
        <v/>
      </c>
      <c r="R561" s="14">
        <f>IF(OR(A561="",G561=""),"",COUNTIFS($N$2:$N$1000,"&gt;0",$G$2:$G$1000,"&gt;"&amp;G561)+COUNTIFS($N$2:N561,"&gt;0",$G$2:G561,G561))</f>
        <v/>
      </c>
    </row>
    <row r="562">
      <c r="A562" s="9" t="n"/>
      <c r="B562" s="10" t="n"/>
      <c r="C562" s="10" t="n"/>
      <c r="D562" s="10" t="n"/>
      <c r="E562" s="10" t="n"/>
      <c r="F562" s="12" t="n"/>
      <c r="G562" s="13" t="n"/>
      <c r="H562" s="13" t="n"/>
      <c r="I562" s="13" t="n"/>
      <c r="J562" s="13" t="n"/>
      <c r="K562" s="13" t="n"/>
      <c r="L562" s="10" t="n"/>
      <c r="M562" s="10" t="n"/>
      <c r="N562" s="14">
        <f>IF(A562="","",WEEKNUM(A562,2))</f>
        <v/>
      </c>
      <c r="O562" s="15">
        <f>IF(OR(A562="",F562=""),"",LOOKUP(F562,Lists!$F$2:$F$5,Lists!$G$2:$G$5))</f>
        <v/>
      </c>
      <c r="P562" s="16">
        <f>IF(A562="","",SUM(H562:K562))</f>
        <v/>
      </c>
      <c r="Q562" s="17">
        <f>IF(A562="","",IFERROR(P562/G562,""))</f>
        <v/>
      </c>
      <c r="R562" s="14">
        <f>IF(OR(A562="",G562=""),"",COUNTIFS($N$2:$N$1000,"&gt;0",$G$2:$G$1000,"&gt;"&amp;G562)+COUNTIFS($N$2:N562,"&gt;0",$G$2:G562,G562))</f>
        <v/>
      </c>
    </row>
    <row r="563">
      <c r="A563" s="9" t="n"/>
      <c r="B563" s="10" t="n"/>
      <c r="C563" s="10" t="n"/>
      <c r="D563" s="10" t="n"/>
      <c r="E563" s="10" t="n"/>
      <c r="F563" s="12" t="n"/>
      <c r="G563" s="13" t="n"/>
      <c r="H563" s="13" t="n"/>
      <c r="I563" s="13" t="n"/>
      <c r="J563" s="13" t="n"/>
      <c r="K563" s="13" t="n"/>
      <c r="L563" s="10" t="n"/>
      <c r="M563" s="10" t="n"/>
      <c r="N563" s="14">
        <f>IF(A563="","",WEEKNUM(A563,2))</f>
        <v/>
      </c>
      <c r="O563" s="15">
        <f>IF(OR(A563="",F563=""),"",LOOKUP(F563,Lists!$F$2:$F$5,Lists!$G$2:$G$5))</f>
        <v/>
      </c>
      <c r="P563" s="16">
        <f>IF(A563="","",SUM(H563:K563))</f>
        <v/>
      </c>
      <c r="Q563" s="17">
        <f>IF(A563="","",IFERROR(P563/G563,""))</f>
        <v/>
      </c>
      <c r="R563" s="14">
        <f>IF(OR(A563="",G563=""),"",COUNTIFS($N$2:$N$1000,"&gt;0",$G$2:$G$1000,"&gt;"&amp;G563)+COUNTIFS($N$2:N563,"&gt;0",$G$2:G563,G563))</f>
        <v/>
      </c>
    </row>
    <row r="564">
      <c r="A564" s="9" t="n"/>
      <c r="B564" s="10" t="n"/>
      <c r="C564" s="10" t="n"/>
      <c r="D564" s="10" t="n"/>
      <c r="E564" s="10" t="n"/>
      <c r="F564" s="12" t="n"/>
      <c r="G564" s="13" t="n"/>
      <c r="H564" s="13" t="n"/>
      <c r="I564" s="13" t="n"/>
      <c r="J564" s="13" t="n"/>
      <c r="K564" s="13" t="n"/>
      <c r="L564" s="10" t="n"/>
      <c r="M564" s="10" t="n"/>
      <c r="N564" s="14">
        <f>IF(A564="","",WEEKNUM(A564,2))</f>
        <v/>
      </c>
      <c r="O564" s="15">
        <f>IF(OR(A564="",F564=""),"",LOOKUP(F564,Lists!$F$2:$F$5,Lists!$G$2:$G$5))</f>
        <v/>
      </c>
      <c r="P564" s="16">
        <f>IF(A564="","",SUM(H564:K564))</f>
        <v/>
      </c>
      <c r="Q564" s="17">
        <f>IF(A564="","",IFERROR(P564/G564,""))</f>
        <v/>
      </c>
      <c r="R564" s="14">
        <f>IF(OR(A564="",G564=""),"",COUNTIFS($N$2:$N$1000,"&gt;0",$G$2:$G$1000,"&gt;"&amp;G564)+COUNTIFS($N$2:N564,"&gt;0",$G$2:G564,G564))</f>
        <v/>
      </c>
    </row>
    <row r="565">
      <c r="A565" s="9" t="n"/>
      <c r="B565" s="10" t="n"/>
      <c r="C565" s="10" t="n"/>
      <c r="D565" s="10" t="n"/>
      <c r="E565" s="10" t="n"/>
      <c r="F565" s="12" t="n"/>
      <c r="G565" s="13" t="n"/>
      <c r="H565" s="13" t="n"/>
      <c r="I565" s="13" t="n"/>
      <c r="J565" s="13" t="n"/>
      <c r="K565" s="13" t="n"/>
      <c r="L565" s="10" t="n"/>
      <c r="M565" s="10" t="n"/>
      <c r="N565" s="14">
        <f>IF(A565="","",WEEKNUM(A565,2))</f>
        <v/>
      </c>
      <c r="O565" s="15">
        <f>IF(OR(A565="",F565=""),"",LOOKUP(F565,Lists!$F$2:$F$5,Lists!$G$2:$G$5))</f>
        <v/>
      </c>
      <c r="P565" s="16">
        <f>IF(A565="","",SUM(H565:K565))</f>
        <v/>
      </c>
      <c r="Q565" s="17">
        <f>IF(A565="","",IFERROR(P565/G565,""))</f>
        <v/>
      </c>
      <c r="R565" s="14">
        <f>IF(OR(A565="",G565=""),"",COUNTIFS($N$2:$N$1000,"&gt;0",$G$2:$G$1000,"&gt;"&amp;G565)+COUNTIFS($N$2:N565,"&gt;0",$G$2:G565,G565))</f>
        <v/>
      </c>
    </row>
    <row r="566">
      <c r="A566" s="9" t="n"/>
      <c r="B566" s="10" t="n"/>
      <c r="C566" s="10" t="n"/>
      <c r="D566" s="10" t="n"/>
      <c r="E566" s="10" t="n"/>
      <c r="F566" s="12" t="n"/>
      <c r="G566" s="13" t="n"/>
      <c r="H566" s="13" t="n"/>
      <c r="I566" s="13" t="n"/>
      <c r="J566" s="13" t="n"/>
      <c r="K566" s="13" t="n"/>
      <c r="L566" s="10" t="n"/>
      <c r="M566" s="10" t="n"/>
      <c r="N566" s="14">
        <f>IF(A566="","",WEEKNUM(A566,2))</f>
        <v/>
      </c>
      <c r="O566" s="15">
        <f>IF(OR(A566="",F566=""),"",LOOKUP(F566,Lists!$F$2:$F$5,Lists!$G$2:$G$5))</f>
        <v/>
      </c>
      <c r="P566" s="16">
        <f>IF(A566="","",SUM(H566:K566))</f>
        <v/>
      </c>
      <c r="Q566" s="17">
        <f>IF(A566="","",IFERROR(P566/G566,""))</f>
        <v/>
      </c>
      <c r="R566" s="14">
        <f>IF(OR(A566="",G566=""),"",COUNTIFS($N$2:$N$1000,"&gt;0",$G$2:$G$1000,"&gt;"&amp;G566)+COUNTIFS($N$2:N566,"&gt;0",$G$2:G566,G566))</f>
        <v/>
      </c>
    </row>
    <row r="567">
      <c r="A567" s="9" t="n"/>
      <c r="B567" s="10" t="n"/>
      <c r="C567" s="10" t="n"/>
      <c r="D567" s="10" t="n"/>
      <c r="E567" s="10" t="n"/>
      <c r="F567" s="12" t="n"/>
      <c r="G567" s="13" t="n"/>
      <c r="H567" s="13" t="n"/>
      <c r="I567" s="13" t="n"/>
      <c r="J567" s="13" t="n"/>
      <c r="K567" s="13" t="n"/>
      <c r="L567" s="10" t="n"/>
      <c r="M567" s="10" t="n"/>
      <c r="N567" s="14">
        <f>IF(A567="","",WEEKNUM(A567,2))</f>
        <v/>
      </c>
      <c r="O567" s="15">
        <f>IF(OR(A567="",F567=""),"",LOOKUP(F567,Lists!$F$2:$F$5,Lists!$G$2:$G$5))</f>
        <v/>
      </c>
      <c r="P567" s="16">
        <f>IF(A567="","",SUM(H567:K567))</f>
        <v/>
      </c>
      <c r="Q567" s="17">
        <f>IF(A567="","",IFERROR(P567/G567,""))</f>
        <v/>
      </c>
      <c r="R567" s="14">
        <f>IF(OR(A567="",G567=""),"",COUNTIFS($N$2:$N$1000,"&gt;0",$G$2:$G$1000,"&gt;"&amp;G567)+COUNTIFS($N$2:N567,"&gt;0",$G$2:G567,G567))</f>
        <v/>
      </c>
    </row>
    <row r="568">
      <c r="A568" s="9" t="n"/>
      <c r="B568" s="10" t="n"/>
      <c r="C568" s="10" t="n"/>
      <c r="D568" s="10" t="n"/>
      <c r="E568" s="10" t="n"/>
      <c r="F568" s="12" t="n"/>
      <c r="G568" s="13" t="n"/>
      <c r="H568" s="13" t="n"/>
      <c r="I568" s="13" t="n"/>
      <c r="J568" s="13" t="n"/>
      <c r="K568" s="13" t="n"/>
      <c r="L568" s="10" t="n"/>
      <c r="M568" s="10" t="n"/>
      <c r="N568" s="14">
        <f>IF(A568="","",WEEKNUM(A568,2))</f>
        <v/>
      </c>
      <c r="O568" s="15">
        <f>IF(OR(A568="",F568=""),"",LOOKUP(F568,Lists!$F$2:$F$5,Lists!$G$2:$G$5))</f>
        <v/>
      </c>
      <c r="P568" s="16">
        <f>IF(A568="","",SUM(H568:K568))</f>
        <v/>
      </c>
      <c r="Q568" s="17">
        <f>IF(A568="","",IFERROR(P568/G568,""))</f>
        <v/>
      </c>
      <c r="R568" s="14">
        <f>IF(OR(A568="",G568=""),"",COUNTIFS($N$2:$N$1000,"&gt;0",$G$2:$G$1000,"&gt;"&amp;G568)+COUNTIFS($N$2:N568,"&gt;0",$G$2:G568,G568))</f>
        <v/>
      </c>
    </row>
    <row r="569">
      <c r="A569" s="9" t="n"/>
      <c r="B569" s="10" t="n"/>
      <c r="C569" s="10" t="n"/>
      <c r="D569" s="10" t="n"/>
      <c r="E569" s="10" t="n"/>
      <c r="F569" s="12" t="n"/>
      <c r="G569" s="13" t="n"/>
      <c r="H569" s="13" t="n"/>
      <c r="I569" s="13" t="n"/>
      <c r="J569" s="13" t="n"/>
      <c r="K569" s="13" t="n"/>
      <c r="L569" s="10" t="n"/>
      <c r="M569" s="10" t="n"/>
      <c r="N569" s="14">
        <f>IF(A569="","",WEEKNUM(A569,2))</f>
        <v/>
      </c>
      <c r="O569" s="15">
        <f>IF(OR(A569="",F569=""),"",LOOKUP(F569,Lists!$F$2:$F$5,Lists!$G$2:$G$5))</f>
        <v/>
      </c>
      <c r="P569" s="16">
        <f>IF(A569="","",SUM(H569:K569))</f>
        <v/>
      </c>
      <c r="Q569" s="17">
        <f>IF(A569="","",IFERROR(P569/G569,""))</f>
        <v/>
      </c>
      <c r="R569" s="14">
        <f>IF(OR(A569="",G569=""),"",COUNTIFS($N$2:$N$1000,"&gt;0",$G$2:$G$1000,"&gt;"&amp;G569)+COUNTIFS($N$2:N569,"&gt;0",$G$2:G569,G569))</f>
        <v/>
      </c>
    </row>
    <row r="570">
      <c r="A570" s="9" t="n"/>
      <c r="B570" s="10" t="n"/>
      <c r="C570" s="10" t="n"/>
      <c r="D570" s="10" t="n"/>
      <c r="E570" s="10" t="n"/>
      <c r="F570" s="12" t="n"/>
      <c r="G570" s="13" t="n"/>
      <c r="H570" s="13" t="n"/>
      <c r="I570" s="13" t="n"/>
      <c r="J570" s="13" t="n"/>
      <c r="K570" s="13" t="n"/>
      <c r="L570" s="10" t="n"/>
      <c r="M570" s="10" t="n"/>
      <c r="N570" s="14">
        <f>IF(A570="","",WEEKNUM(A570,2))</f>
        <v/>
      </c>
      <c r="O570" s="15">
        <f>IF(OR(A570="",F570=""),"",LOOKUP(F570,Lists!$F$2:$F$5,Lists!$G$2:$G$5))</f>
        <v/>
      </c>
      <c r="P570" s="16">
        <f>IF(A570="","",SUM(H570:K570))</f>
        <v/>
      </c>
      <c r="Q570" s="17">
        <f>IF(A570="","",IFERROR(P570/G570,""))</f>
        <v/>
      </c>
      <c r="R570" s="14">
        <f>IF(OR(A570="",G570=""),"",COUNTIFS($N$2:$N$1000,"&gt;0",$G$2:$G$1000,"&gt;"&amp;G570)+COUNTIFS($N$2:N570,"&gt;0",$G$2:G570,G570))</f>
        <v/>
      </c>
    </row>
    <row r="571">
      <c r="A571" s="9" t="n"/>
      <c r="B571" s="10" t="n"/>
      <c r="C571" s="10" t="n"/>
      <c r="D571" s="10" t="n"/>
      <c r="E571" s="10" t="n"/>
      <c r="F571" s="12" t="n"/>
      <c r="G571" s="13" t="n"/>
      <c r="H571" s="13" t="n"/>
      <c r="I571" s="13" t="n"/>
      <c r="J571" s="13" t="n"/>
      <c r="K571" s="13" t="n"/>
      <c r="L571" s="10" t="n"/>
      <c r="M571" s="10" t="n"/>
      <c r="N571" s="14">
        <f>IF(A571="","",WEEKNUM(A571,2))</f>
        <v/>
      </c>
      <c r="O571" s="15">
        <f>IF(OR(A571="",F571=""),"",LOOKUP(F571,Lists!$F$2:$F$5,Lists!$G$2:$G$5))</f>
        <v/>
      </c>
      <c r="P571" s="16">
        <f>IF(A571="","",SUM(H571:K571))</f>
        <v/>
      </c>
      <c r="Q571" s="17">
        <f>IF(A571="","",IFERROR(P571/G571,""))</f>
        <v/>
      </c>
      <c r="R571" s="14">
        <f>IF(OR(A571="",G571=""),"",COUNTIFS($N$2:$N$1000,"&gt;0",$G$2:$G$1000,"&gt;"&amp;G571)+COUNTIFS($N$2:N571,"&gt;0",$G$2:G571,G571))</f>
        <v/>
      </c>
    </row>
    <row r="572">
      <c r="A572" s="9" t="n"/>
      <c r="B572" s="10" t="n"/>
      <c r="C572" s="10" t="n"/>
      <c r="D572" s="10" t="n"/>
      <c r="E572" s="10" t="n"/>
      <c r="F572" s="12" t="n"/>
      <c r="G572" s="13" t="n"/>
      <c r="H572" s="13" t="n"/>
      <c r="I572" s="13" t="n"/>
      <c r="J572" s="13" t="n"/>
      <c r="K572" s="13" t="n"/>
      <c r="L572" s="10" t="n"/>
      <c r="M572" s="10" t="n"/>
      <c r="N572" s="14">
        <f>IF(A572="","",WEEKNUM(A572,2))</f>
        <v/>
      </c>
      <c r="O572" s="15">
        <f>IF(OR(A572="",F572=""),"",LOOKUP(F572,Lists!$F$2:$F$5,Lists!$G$2:$G$5))</f>
        <v/>
      </c>
      <c r="P572" s="16">
        <f>IF(A572="","",SUM(H572:K572))</f>
        <v/>
      </c>
      <c r="Q572" s="17">
        <f>IF(A572="","",IFERROR(P572/G572,""))</f>
        <v/>
      </c>
      <c r="R572" s="14">
        <f>IF(OR(A572="",G572=""),"",COUNTIFS($N$2:$N$1000,"&gt;0",$G$2:$G$1000,"&gt;"&amp;G572)+COUNTIFS($N$2:N572,"&gt;0",$G$2:G572,G572))</f>
        <v/>
      </c>
    </row>
    <row r="573">
      <c r="A573" s="9" t="n"/>
      <c r="B573" s="10" t="n"/>
      <c r="C573" s="10" t="n"/>
      <c r="D573" s="10" t="n"/>
      <c r="E573" s="10" t="n"/>
      <c r="F573" s="12" t="n"/>
      <c r="G573" s="13" t="n"/>
      <c r="H573" s="13" t="n"/>
      <c r="I573" s="13" t="n"/>
      <c r="J573" s="13" t="n"/>
      <c r="K573" s="13" t="n"/>
      <c r="L573" s="10" t="n"/>
      <c r="M573" s="10" t="n"/>
      <c r="N573" s="14">
        <f>IF(A573="","",WEEKNUM(A573,2))</f>
        <v/>
      </c>
      <c r="O573" s="15">
        <f>IF(OR(A573="",F573=""),"",LOOKUP(F573,Lists!$F$2:$F$5,Lists!$G$2:$G$5))</f>
        <v/>
      </c>
      <c r="P573" s="16">
        <f>IF(A573="","",SUM(H573:K573))</f>
        <v/>
      </c>
      <c r="Q573" s="17">
        <f>IF(A573="","",IFERROR(P573/G573,""))</f>
        <v/>
      </c>
      <c r="R573" s="14">
        <f>IF(OR(A573="",G573=""),"",COUNTIFS($N$2:$N$1000,"&gt;0",$G$2:$G$1000,"&gt;"&amp;G573)+COUNTIFS($N$2:N573,"&gt;0",$G$2:G573,G573))</f>
        <v/>
      </c>
    </row>
    <row r="574">
      <c r="A574" s="9" t="n"/>
      <c r="B574" s="10" t="n"/>
      <c r="C574" s="10" t="n"/>
      <c r="D574" s="10" t="n"/>
      <c r="E574" s="10" t="n"/>
      <c r="F574" s="12" t="n"/>
      <c r="G574" s="13" t="n"/>
      <c r="H574" s="13" t="n"/>
      <c r="I574" s="13" t="n"/>
      <c r="J574" s="13" t="n"/>
      <c r="K574" s="13" t="n"/>
      <c r="L574" s="10" t="n"/>
      <c r="M574" s="10" t="n"/>
      <c r="N574" s="14">
        <f>IF(A574="","",WEEKNUM(A574,2))</f>
        <v/>
      </c>
      <c r="O574" s="15">
        <f>IF(OR(A574="",F574=""),"",LOOKUP(F574,Lists!$F$2:$F$5,Lists!$G$2:$G$5))</f>
        <v/>
      </c>
      <c r="P574" s="16">
        <f>IF(A574="","",SUM(H574:K574))</f>
        <v/>
      </c>
      <c r="Q574" s="17">
        <f>IF(A574="","",IFERROR(P574/G574,""))</f>
        <v/>
      </c>
      <c r="R574" s="14">
        <f>IF(OR(A574="",G574=""),"",COUNTIFS($N$2:$N$1000,"&gt;0",$G$2:$G$1000,"&gt;"&amp;G574)+COUNTIFS($N$2:N574,"&gt;0",$G$2:G574,G574))</f>
        <v/>
      </c>
    </row>
    <row r="575">
      <c r="A575" s="9" t="n"/>
      <c r="B575" s="10" t="n"/>
      <c r="C575" s="10" t="n"/>
      <c r="D575" s="10" t="n"/>
      <c r="E575" s="10" t="n"/>
      <c r="F575" s="12" t="n"/>
      <c r="G575" s="13" t="n"/>
      <c r="H575" s="13" t="n"/>
      <c r="I575" s="13" t="n"/>
      <c r="J575" s="13" t="n"/>
      <c r="K575" s="13" t="n"/>
      <c r="L575" s="10" t="n"/>
      <c r="M575" s="10" t="n"/>
      <c r="N575" s="14">
        <f>IF(A575="","",WEEKNUM(A575,2))</f>
        <v/>
      </c>
      <c r="O575" s="15">
        <f>IF(OR(A575="",F575=""),"",LOOKUP(F575,Lists!$F$2:$F$5,Lists!$G$2:$G$5))</f>
        <v/>
      </c>
      <c r="P575" s="16">
        <f>IF(A575="","",SUM(H575:K575))</f>
        <v/>
      </c>
      <c r="Q575" s="17">
        <f>IF(A575="","",IFERROR(P575/G575,""))</f>
        <v/>
      </c>
      <c r="R575" s="14">
        <f>IF(OR(A575="",G575=""),"",COUNTIFS($N$2:$N$1000,"&gt;0",$G$2:$G$1000,"&gt;"&amp;G575)+COUNTIFS($N$2:N575,"&gt;0",$G$2:G575,G575))</f>
        <v/>
      </c>
    </row>
    <row r="576">
      <c r="A576" s="9" t="n"/>
      <c r="B576" s="10" t="n"/>
      <c r="C576" s="10" t="n"/>
      <c r="D576" s="10" t="n"/>
      <c r="E576" s="10" t="n"/>
      <c r="F576" s="12" t="n"/>
      <c r="G576" s="13" t="n"/>
      <c r="H576" s="13" t="n"/>
      <c r="I576" s="13" t="n"/>
      <c r="J576" s="13" t="n"/>
      <c r="K576" s="13" t="n"/>
      <c r="L576" s="10" t="n"/>
      <c r="M576" s="10" t="n"/>
      <c r="N576" s="14">
        <f>IF(A576="","",WEEKNUM(A576,2))</f>
        <v/>
      </c>
      <c r="O576" s="15">
        <f>IF(OR(A576="",F576=""),"",LOOKUP(F576,Lists!$F$2:$F$5,Lists!$G$2:$G$5))</f>
        <v/>
      </c>
      <c r="P576" s="16">
        <f>IF(A576="","",SUM(H576:K576))</f>
        <v/>
      </c>
      <c r="Q576" s="17">
        <f>IF(A576="","",IFERROR(P576/G576,""))</f>
        <v/>
      </c>
      <c r="R576" s="14">
        <f>IF(OR(A576="",G576=""),"",COUNTIFS($N$2:$N$1000,"&gt;0",$G$2:$G$1000,"&gt;"&amp;G576)+COUNTIFS($N$2:N576,"&gt;0",$G$2:G576,G576))</f>
        <v/>
      </c>
    </row>
    <row r="577">
      <c r="A577" s="9" t="n"/>
      <c r="B577" s="10" t="n"/>
      <c r="C577" s="10" t="n"/>
      <c r="D577" s="10" t="n"/>
      <c r="E577" s="10" t="n"/>
      <c r="F577" s="12" t="n"/>
      <c r="G577" s="13" t="n"/>
      <c r="H577" s="13" t="n"/>
      <c r="I577" s="13" t="n"/>
      <c r="J577" s="13" t="n"/>
      <c r="K577" s="13" t="n"/>
      <c r="L577" s="10" t="n"/>
      <c r="M577" s="10" t="n"/>
      <c r="N577" s="14">
        <f>IF(A577="","",WEEKNUM(A577,2))</f>
        <v/>
      </c>
      <c r="O577" s="15">
        <f>IF(OR(A577="",F577=""),"",LOOKUP(F577,Lists!$F$2:$F$5,Lists!$G$2:$G$5))</f>
        <v/>
      </c>
      <c r="P577" s="16">
        <f>IF(A577="","",SUM(H577:K577))</f>
        <v/>
      </c>
      <c r="Q577" s="17">
        <f>IF(A577="","",IFERROR(P577/G577,""))</f>
        <v/>
      </c>
      <c r="R577" s="14">
        <f>IF(OR(A577="",G577=""),"",COUNTIFS($N$2:$N$1000,"&gt;0",$G$2:$G$1000,"&gt;"&amp;G577)+COUNTIFS($N$2:N577,"&gt;0",$G$2:G577,G577))</f>
        <v/>
      </c>
    </row>
    <row r="578">
      <c r="A578" s="9" t="n"/>
      <c r="B578" s="10" t="n"/>
      <c r="C578" s="10" t="n"/>
      <c r="D578" s="10" t="n"/>
      <c r="E578" s="10" t="n"/>
      <c r="F578" s="12" t="n"/>
      <c r="G578" s="13" t="n"/>
      <c r="H578" s="13" t="n"/>
      <c r="I578" s="13" t="n"/>
      <c r="J578" s="13" t="n"/>
      <c r="K578" s="13" t="n"/>
      <c r="L578" s="10" t="n"/>
      <c r="M578" s="10" t="n"/>
      <c r="N578" s="14">
        <f>IF(A578="","",WEEKNUM(A578,2))</f>
        <v/>
      </c>
      <c r="O578" s="15">
        <f>IF(OR(A578="",F578=""),"",LOOKUP(F578,Lists!$F$2:$F$5,Lists!$G$2:$G$5))</f>
        <v/>
      </c>
      <c r="P578" s="16">
        <f>IF(A578="","",SUM(H578:K578))</f>
        <v/>
      </c>
      <c r="Q578" s="17">
        <f>IF(A578="","",IFERROR(P578/G578,""))</f>
        <v/>
      </c>
      <c r="R578" s="14">
        <f>IF(OR(A578="",G578=""),"",COUNTIFS($N$2:$N$1000,"&gt;0",$G$2:$G$1000,"&gt;"&amp;G578)+COUNTIFS($N$2:N578,"&gt;0",$G$2:G578,G578))</f>
        <v/>
      </c>
    </row>
    <row r="579">
      <c r="A579" s="9" t="n"/>
      <c r="B579" s="10" t="n"/>
      <c r="C579" s="10" t="n"/>
      <c r="D579" s="10" t="n"/>
      <c r="E579" s="10" t="n"/>
      <c r="F579" s="12" t="n"/>
      <c r="G579" s="13" t="n"/>
      <c r="H579" s="13" t="n"/>
      <c r="I579" s="13" t="n"/>
      <c r="J579" s="13" t="n"/>
      <c r="K579" s="13" t="n"/>
      <c r="L579" s="10" t="n"/>
      <c r="M579" s="10" t="n"/>
      <c r="N579" s="14">
        <f>IF(A579="","",WEEKNUM(A579,2))</f>
        <v/>
      </c>
      <c r="O579" s="15">
        <f>IF(OR(A579="",F579=""),"",LOOKUP(F579,Lists!$F$2:$F$5,Lists!$G$2:$G$5))</f>
        <v/>
      </c>
      <c r="P579" s="16">
        <f>IF(A579="","",SUM(H579:K579))</f>
        <v/>
      </c>
      <c r="Q579" s="17">
        <f>IF(A579="","",IFERROR(P579/G579,""))</f>
        <v/>
      </c>
      <c r="R579" s="14">
        <f>IF(OR(A579="",G579=""),"",COUNTIFS($N$2:$N$1000,"&gt;0",$G$2:$G$1000,"&gt;"&amp;G579)+COUNTIFS($N$2:N579,"&gt;0",$G$2:G579,G579))</f>
        <v/>
      </c>
    </row>
    <row r="580">
      <c r="A580" s="9" t="n"/>
      <c r="B580" s="10" t="n"/>
      <c r="C580" s="10" t="n"/>
      <c r="D580" s="10" t="n"/>
      <c r="E580" s="10" t="n"/>
      <c r="F580" s="12" t="n"/>
      <c r="G580" s="13" t="n"/>
      <c r="H580" s="13" t="n"/>
      <c r="I580" s="13" t="n"/>
      <c r="J580" s="13" t="n"/>
      <c r="K580" s="13" t="n"/>
      <c r="L580" s="10" t="n"/>
      <c r="M580" s="10" t="n"/>
      <c r="N580" s="14">
        <f>IF(A580="","",WEEKNUM(A580,2))</f>
        <v/>
      </c>
      <c r="O580" s="15">
        <f>IF(OR(A580="",F580=""),"",LOOKUP(F580,Lists!$F$2:$F$5,Lists!$G$2:$G$5))</f>
        <v/>
      </c>
      <c r="P580" s="16">
        <f>IF(A580="","",SUM(H580:K580))</f>
        <v/>
      </c>
      <c r="Q580" s="17">
        <f>IF(A580="","",IFERROR(P580/G580,""))</f>
        <v/>
      </c>
      <c r="R580" s="14">
        <f>IF(OR(A580="",G580=""),"",COUNTIFS($N$2:$N$1000,"&gt;0",$G$2:$G$1000,"&gt;"&amp;G580)+COUNTIFS($N$2:N580,"&gt;0",$G$2:G580,G580))</f>
        <v/>
      </c>
    </row>
    <row r="581">
      <c r="A581" s="9" t="n"/>
      <c r="B581" s="10" t="n"/>
      <c r="C581" s="10" t="n"/>
      <c r="D581" s="10" t="n"/>
      <c r="E581" s="10" t="n"/>
      <c r="F581" s="12" t="n"/>
      <c r="G581" s="13" t="n"/>
      <c r="H581" s="13" t="n"/>
      <c r="I581" s="13" t="n"/>
      <c r="J581" s="13" t="n"/>
      <c r="K581" s="13" t="n"/>
      <c r="L581" s="10" t="n"/>
      <c r="M581" s="10" t="n"/>
      <c r="N581" s="14">
        <f>IF(A581="","",WEEKNUM(A581,2))</f>
        <v/>
      </c>
      <c r="O581" s="15">
        <f>IF(OR(A581="",F581=""),"",LOOKUP(F581,Lists!$F$2:$F$5,Lists!$G$2:$G$5))</f>
        <v/>
      </c>
      <c r="P581" s="16">
        <f>IF(A581="","",SUM(H581:K581))</f>
        <v/>
      </c>
      <c r="Q581" s="17">
        <f>IF(A581="","",IFERROR(P581/G581,""))</f>
        <v/>
      </c>
      <c r="R581" s="14">
        <f>IF(OR(A581="",G581=""),"",COUNTIFS($N$2:$N$1000,"&gt;0",$G$2:$G$1000,"&gt;"&amp;G581)+COUNTIFS($N$2:N581,"&gt;0",$G$2:G581,G581))</f>
        <v/>
      </c>
    </row>
    <row r="582">
      <c r="A582" s="9" t="n"/>
      <c r="B582" s="10" t="n"/>
      <c r="C582" s="10" t="n"/>
      <c r="D582" s="10" t="n"/>
      <c r="E582" s="10" t="n"/>
      <c r="F582" s="12" t="n"/>
      <c r="G582" s="13" t="n"/>
      <c r="H582" s="13" t="n"/>
      <c r="I582" s="13" t="n"/>
      <c r="J582" s="13" t="n"/>
      <c r="K582" s="13" t="n"/>
      <c r="L582" s="10" t="n"/>
      <c r="M582" s="10" t="n"/>
      <c r="N582" s="14">
        <f>IF(A582="","",WEEKNUM(A582,2))</f>
        <v/>
      </c>
      <c r="O582" s="15">
        <f>IF(OR(A582="",F582=""),"",LOOKUP(F582,Lists!$F$2:$F$5,Lists!$G$2:$G$5))</f>
        <v/>
      </c>
      <c r="P582" s="16">
        <f>IF(A582="","",SUM(H582:K582))</f>
        <v/>
      </c>
      <c r="Q582" s="17">
        <f>IF(A582="","",IFERROR(P582/G582,""))</f>
        <v/>
      </c>
      <c r="R582" s="14">
        <f>IF(OR(A582="",G582=""),"",COUNTIFS($N$2:$N$1000,"&gt;0",$G$2:$G$1000,"&gt;"&amp;G582)+COUNTIFS($N$2:N582,"&gt;0",$G$2:G582,G582))</f>
        <v/>
      </c>
    </row>
    <row r="583">
      <c r="A583" s="9" t="n"/>
      <c r="B583" s="10" t="n"/>
      <c r="C583" s="10" t="n"/>
      <c r="D583" s="10" t="n"/>
      <c r="E583" s="10" t="n"/>
      <c r="F583" s="12" t="n"/>
      <c r="G583" s="13" t="n"/>
      <c r="H583" s="13" t="n"/>
      <c r="I583" s="13" t="n"/>
      <c r="J583" s="13" t="n"/>
      <c r="K583" s="13" t="n"/>
      <c r="L583" s="10" t="n"/>
      <c r="M583" s="10" t="n"/>
      <c r="N583" s="14">
        <f>IF(A583="","",WEEKNUM(A583,2))</f>
        <v/>
      </c>
      <c r="O583" s="15">
        <f>IF(OR(A583="",F583=""),"",LOOKUP(F583,Lists!$F$2:$F$5,Lists!$G$2:$G$5))</f>
        <v/>
      </c>
      <c r="P583" s="16">
        <f>IF(A583="","",SUM(H583:K583))</f>
        <v/>
      </c>
      <c r="Q583" s="17">
        <f>IF(A583="","",IFERROR(P583/G583,""))</f>
        <v/>
      </c>
      <c r="R583" s="14">
        <f>IF(OR(A583="",G583=""),"",COUNTIFS($N$2:$N$1000,"&gt;0",$G$2:$G$1000,"&gt;"&amp;G583)+COUNTIFS($N$2:N583,"&gt;0",$G$2:G583,G583))</f>
        <v/>
      </c>
    </row>
    <row r="584">
      <c r="A584" s="9" t="n"/>
      <c r="B584" s="10" t="n"/>
      <c r="C584" s="10" t="n"/>
      <c r="D584" s="10" t="n"/>
      <c r="E584" s="10" t="n"/>
      <c r="F584" s="12" t="n"/>
      <c r="G584" s="13" t="n"/>
      <c r="H584" s="13" t="n"/>
      <c r="I584" s="13" t="n"/>
      <c r="J584" s="13" t="n"/>
      <c r="K584" s="13" t="n"/>
      <c r="L584" s="10" t="n"/>
      <c r="M584" s="10" t="n"/>
      <c r="N584" s="14">
        <f>IF(A584="","",WEEKNUM(A584,2))</f>
        <v/>
      </c>
      <c r="O584" s="15">
        <f>IF(OR(A584="",F584=""),"",LOOKUP(F584,Lists!$F$2:$F$5,Lists!$G$2:$G$5))</f>
        <v/>
      </c>
      <c r="P584" s="16">
        <f>IF(A584="","",SUM(H584:K584))</f>
        <v/>
      </c>
      <c r="Q584" s="17">
        <f>IF(A584="","",IFERROR(P584/G584,""))</f>
        <v/>
      </c>
      <c r="R584" s="14">
        <f>IF(OR(A584="",G584=""),"",COUNTIFS($N$2:$N$1000,"&gt;0",$G$2:$G$1000,"&gt;"&amp;G584)+COUNTIFS($N$2:N584,"&gt;0",$G$2:G584,G584))</f>
        <v/>
      </c>
    </row>
    <row r="585">
      <c r="A585" s="9" t="n"/>
      <c r="B585" s="10" t="n"/>
      <c r="C585" s="10" t="n"/>
      <c r="D585" s="10" t="n"/>
      <c r="E585" s="10" t="n"/>
      <c r="F585" s="12" t="n"/>
      <c r="G585" s="13" t="n"/>
      <c r="H585" s="13" t="n"/>
      <c r="I585" s="13" t="n"/>
      <c r="J585" s="13" t="n"/>
      <c r="K585" s="13" t="n"/>
      <c r="L585" s="10" t="n"/>
      <c r="M585" s="10" t="n"/>
      <c r="N585" s="14">
        <f>IF(A585="","",WEEKNUM(A585,2))</f>
        <v/>
      </c>
      <c r="O585" s="15">
        <f>IF(OR(A585="",F585=""),"",LOOKUP(F585,Lists!$F$2:$F$5,Lists!$G$2:$G$5))</f>
        <v/>
      </c>
      <c r="P585" s="16">
        <f>IF(A585="","",SUM(H585:K585))</f>
        <v/>
      </c>
      <c r="Q585" s="17">
        <f>IF(A585="","",IFERROR(P585/G585,""))</f>
        <v/>
      </c>
      <c r="R585" s="14">
        <f>IF(OR(A585="",G585=""),"",COUNTIFS($N$2:$N$1000,"&gt;0",$G$2:$G$1000,"&gt;"&amp;G585)+COUNTIFS($N$2:N585,"&gt;0",$G$2:G585,G585))</f>
        <v/>
      </c>
    </row>
    <row r="586">
      <c r="A586" s="9" t="n"/>
      <c r="B586" s="10" t="n"/>
      <c r="C586" s="10" t="n"/>
      <c r="D586" s="10" t="n"/>
      <c r="E586" s="10" t="n"/>
      <c r="F586" s="12" t="n"/>
      <c r="G586" s="13" t="n"/>
      <c r="H586" s="13" t="n"/>
      <c r="I586" s="13" t="n"/>
      <c r="J586" s="13" t="n"/>
      <c r="K586" s="13" t="n"/>
      <c r="L586" s="10" t="n"/>
      <c r="M586" s="10" t="n"/>
      <c r="N586" s="14">
        <f>IF(A586="","",WEEKNUM(A586,2))</f>
        <v/>
      </c>
      <c r="O586" s="15">
        <f>IF(OR(A586="",F586=""),"",LOOKUP(F586,Lists!$F$2:$F$5,Lists!$G$2:$G$5))</f>
        <v/>
      </c>
      <c r="P586" s="16">
        <f>IF(A586="","",SUM(H586:K586))</f>
        <v/>
      </c>
      <c r="Q586" s="17">
        <f>IF(A586="","",IFERROR(P586/G586,""))</f>
        <v/>
      </c>
      <c r="R586" s="14">
        <f>IF(OR(A586="",G586=""),"",COUNTIFS($N$2:$N$1000,"&gt;0",$G$2:$G$1000,"&gt;"&amp;G586)+COUNTIFS($N$2:N586,"&gt;0",$G$2:G586,G586))</f>
        <v/>
      </c>
    </row>
    <row r="587">
      <c r="A587" s="9" t="n"/>
      <c r="B587" s="10" t="n"/>
      <c r="C587" s="10" t="n"/>
      <c r="D587" s="10" t="n"/>
      <c r="E587" s="10" t="n"/>
      <c r="F587" s="12" t="n"/>
      <c r="G587" s="13" t="n"/>
      <c r="H587" s="13" t="n"/>
      <c r="I587" s="13" t="n"/>
      <c r="J587" s="13" t="n"/>
      <c r="K587" s="13" t="n"/>
      <c r="L587" s="10" t="n"/>
      <c r="M587" s="10" t="n"/>
      <c r="N587" s="14">
        <f>IF(A587="","",WEEKNUM(A587,2))</f>
        <v/>
      </c>
      <c r="O587" s="15">
        <f>IF(OR(A587="",F587=""),"",LOOKUP(F587,Lists!$F$2:$F$5,Lists!$G$2:$G$5))</f>
        <v/>
      </c>
      <c r="P587" s="16">
        <f>IF(A587="","",SUM(H587:K587))</f>
        <v/>
      </c>
      <c r="Q587" s="17">
        <f>IF(A587="","",IFERROR(P587/G587,""))</f>
        <v/>
      </c>
      <c r="R587" s="14">
        <f>IF(OR(A587="",G587=""),"",COUNTIFS($N$2:$N$1000,"&gt;0",$G$2:$G$1000,"&gt;"&amp;G587)+COUNTIFS($N$2:N587,"&gt;0",$G$2:G587,G587))</f>
        <v/>
      </c>
    </row>
    <row r="588">
      <c r="A588" s="9" t="n"/>
      <c r="B588" s="10" t="n"/>
      <c r="C588" s="10" t="n"/>
      <c r="D588" s="10" t="n"/>
      <c r="E588" s="10" t="n"/>
      <c r="F588" s="12" t="n"/>
      <c r="G588" s="13" t="n"/>
      <c r="H588" s="13" t="n"/>
      <c r="I588" s="13" t="n"/>
      <c r="J588" s="13" t="n"/>
      <c r="K588" s="13" t="n"/>
      <c r="L588" s="10" t="n"/>
      <c r="M588" s="10" t="n"/>
      <c r="N588" s="14">
        <f>IF(A588="","",WEEKNUM(A588,2))</f>
        <v/>
      </c>
      <c r="O588" s="15">
        <f>IF(OR(A588="",F588=""),"",LOOKUP(F588,Lists!$F$2:$F$5,Lists!$G$2:$G$5))</f>
        <v/>
      </c>
      <c r="P588" s="16">
        <f>IF(A588="","",SUM(H588:K588))</f>
        <v/>
      </c>
      <c r="Q588" s="17">
        <f>IF(A588="","",IFERROR(P588/G588,""))</f>
        <v/>
      </c>
      <c r="R588" s="14">
        <f>IF(OR(A588="",G588=""),"",COUNTIFS($N$2:$N$1000,"&gt;0",$G$2:$G$1000,"&gt;"&amp;G588)+COUNTIFS($N$2:N588,"&gt;0",$G$2:G588,G588))</f>
        <v/>
      </c>
    </row>
    <row r="589">
      <c r="A589" s="9" t="n"/>
      <c r="B589" s="10" t="n"/>
      <c r="C589" s="10" t="n"/>
      <c r="D589" s="10" t="n"/>
      <c r="E589" s="10" t="n"/>
      <c r="F589" s="12" t="n"/>
      <c r="G589" s="13" t="n"/>
      <c r="H589" s="13" t="n"/>
      <c r="I589" s="13" t="n"/>
      <c r="J589" s="13" t="n"/>
      <c r="K589" s="13" t="n"/>
      <c r="L589" s="10" t="n"/>
      <c r="M589" s="10" t="n"/>
      <c r="N589" s="14">
        <f>IF(A589="","",WEEKNUM(A589,2))</f>
        <v/>
      </c>
      <c r="O589" s="15">
        <f>IF(OR(A589="",F589=""),"",LOOKUP(F589,Lists!$F$2:$F$5,Lists!$G$2:$G$5))</f>
        <v/>
      </c>
      <c r="P589" s="16">
        <f>IF(A589="","",SUM(H589:K589))</f>
        <v/>
      </c>
      <c r="Q589" s="17">
        <f>IF(A589="","",IFERROR(P589/G589,""))</f>
        <v/>
      </c>
      <c r="R589" s="14">
        <f>IF(OR(A589="",G589=""),"",COUNTIFS($N$2:$N$1000,"&gt;0",$G$2:$G$1000,"&gt;"&amp;G589)+COUNTIFS($N$2:N589,"&gt;0",$G$2:G589,G589))</f>
        <v/>
      </c>
    </row>
    <row r="590">
      <c r="A590" s="9" t="n"/>
      <c r="B590" s="10" t="n"/>
      <c r="C590" s="10" t="n"/>
      <c r="D590" s="10" t="n"/>
      <c r="E590" s="10" t="n"/>
      <c r="F590" s="12" t="n"/>
      <c r="G590" s="13" t="n"/>
      <c r="H590" s="13" t="n"/>
      <c r="I590" s="13" t="n"/>
      <c r="J590" s="13" t="n"/>
      <c r="K590" s="13" t="n"/>
      <c r="L590" s="10" t="n"/>
      <c r="M590" s="10" t="n"/>
      <c r="N590" s="14">
        <f>IF(A590="","",WEEKNUM(A590,2))</f>
        <v/>
      </c>
      <c r="O590" s="15">
        <f>IF(OR(A590="",F590=""),"",LOOKUP(F590,Lists!$F$2:$F$5,Lists!$G$2:$G$5))</f>
        <v/>
      </c>
      <c r="P590" s="16">
        <f>IF(A590="","",SUM(H590:K590))</f>
        <v/>
      </c>
      <c r="Q590" s="17">
        <f>IF(A590="","",IFERROR(P590/G590,""))</f>
        <v/>
      </c>
      <c r="R590" s="14">
        <f>IF(OR(A590="",G590=""),"",COUNTIFS($N$2:$N$1000,"&gt;0",$G$2:$G$1000,"&gt;"&amp;G590)+COUNTIFS($N$2:N590,"&gt;0",$G$2:G590,G590))</f>
        <v/>
      </c>
    </row>
    <row r="591">
      <c r="A591" s="9" t="n"/>
      <c r="B591" s="10" t="n"/>
      <c r="C591" s="10" t="n"/>
      <c r="D591" s="10" t="n"/>
      <c r="E591" s="10" t="n"/>
      <c r="F591" s="12" t="n"/>
      <c r="G591" s="13" t="n"/>
      <c r="H591" s="13" t="n"/>
      <c r="I591" s="13" t="n"/>
      <c r="J591" s="13" t="n"/>
      <c r="K591" s="13" t="n"/>
      <c r="L591" s="10" t="n"/>
      <c r="M591" s="10" t="n"/>
      <c r="N591" s="14">
        <f>IF(A591="","",WEEKNUM(A591,2))</f>
        <v/>
      </c>
      <c r="O591" s="15">
        <f>IF(OR(A591="",F591=""),"",LOOKUP(F591,Lists!$F$2:$F$5,Lists!$G$2:$G$5))</f>
        <v/>
      </c>
      <c r="P591" s="16">
        <f>IF(A591="","",SUM(H591:K591))</f>
        <v/>
      </c>
      <c r="Q591" s="17">
        <f>IF(A591="","",IFERROR(P591/G591,""))</f>
        <v/>
      </c>
      <c r="R591" s="14">
        <f>IF(OR(A591="",G591=""),"",COUNTIFS($N$2:$N$1000,"&gt;0",$G$2:$G$1000,"&gt;"&amp;G591)+COUNTIFS($N$2:N591,"&gt;0",$G$2:G591,G591))</f>
        <v/>
      </c>
    </row>
    <row r="592">
      <c r="A592" s="9" t="n"/>
      <c r="B592" s="10" t="n"/>
      <c r="C592" s="10" t="n"/>
      <c r="D592" s="10" t="n"/>
      <c r="E592" s="10" t="n"/>
      <c r="F592" s="12" t="n"/>
      <c r="G592" s="13" t="n"/>
      <c r="H592" s="13" t="n"/>
      <c r="I592" s="13" t="n"/>
      <c r="J592" s="13" t="n"/>
      <c r="K592" s="13" t="n"/>
      <c r="L592" s="10" t="n"/>
      <c r="M592" s="10" t="n"/>
      <c r="N592" s="14">
        <f>IF(A592="","",WEEKNUM(A592,2))</f>
        <v/>
      </c>
      <c r="O592" s="15">
        <f>IF(OR(A592="",F592=""),"",LOOKUP(F592,Lists!$F$2:$F$5,Lists!$G$2:$G$5))</f>
        <v/>
      </c>
      <c r="P592" s="16">
        <f>IF(A592="","",SUM(H592:K592))</f>
        <v/>
      </c>
      <c r="Q592" s="17">
        <f>IF(A592="","",IFERROR(P592/G592,""))</f>
        <v/>
      </c>
      <c r="R592" s="14">
        <f>IF(OR(A592="",G592=""),"",COUNTIFS($N$2:$N$1000,"&gt;0",$G$2:$G$1000,"&gt;"&amp;G592)+COUNTIFS($N$2:N592,"&gt;0",$G$2:G592,G592))</f>
        <v/>
      </c>
    </row>
    <row r="593">
      <c r="A593" s="9" t="n"/>
      <c r="B593" s="10" t="n"/>
      <c r="C593" s="10" t="n"/>
      <c r="D593" s="10" t="n"/>
      <c r="E593" s="10" t="n"/>
      <c r="F593" s="12" t="n"/>
      <c r="G593" s="13" t="n"/>
      <c r="H593" s="13" t="n"/>
      <c r="I593" s="13" t="n"/>
      <c r="J593" s="13" t="n"/>
      <c r="K593" s="13" t="n"/>
      <c r="L593" s="10" t="n"/>
      <c r="M593" s="10" t="n"/>
      <c r="N593" s="14">
        <f>IF(A593="","",WEEKNUM(A593,2))</f>
        <v/>
      </c>
      <c r="O593" s="15">
        <f>IF(OR(A593="",F593=""),"",LOOKUP(F593,Lists!$F$2:$F$5,Lists!$G$2:$G$5))</f>
        <v/>
      </c>
      <c r="P593" s="16">
        <f>IF(A593="","",SUM(H593:K593))</f>
        <v/>
      </c>
      <c r="Q593" s="17">
        <f>IF(A593="","",IFERROR(P593/G593,""))</f>
        <v/>
      </c>
      <c r="R593" s="14">
        <f>IF(OR(A593="",G593=""),"",COUNTIFS($N$2:$N$1000,"&gt;0",$G$2:$G$1000,"&gt;"&amp;G593)+COUNTIFS($N$2:N593,"&gt;0",$G$2:G593,G593))</f>
        <v/>
      </c>
    </row>
    <row r="594">
      <c r="A594" s="9" t="n"/>
      <c r="B594" s="10" t="n"/>
      <c r="C594" s="10" t="n"/>
      <c r="D594" s="10" t="n"/>
      <c r="E594" s="10" t="n"/>
      <c r="F594" s="12" t="n"/>
      <c r="G594" s="13" t="n"/>
      <c r="H594" s="13" t="n"/>
      <c r="I594" s="13" t="n"/>
      <c r="J594" s="13" t="n"/>
      <c r="K594" s="13" t="n"/>
      <c r="L594" s="10" t="n"/>
      <c r="M594" s="10" t="n"/>
      <c r="N594" s="14">
        <f>IF(A594="","",WEEKNUM(A594,2))</f>
        <v/>
      </c>
      <c r="O594" s="15">
        <f>IF(OR(A594="",F594=""),"",LOOKUP(F594,Lists!$F$2:$F$5,Lists!$G$2:$G$5))</f>
        <v/>
      </c>
      <c r="P594" s="16">
        <f>IF(A594="","",SUM(H594:K594))</f>
        <v/>
      </c>
      <c r="Q594" s="17">
        <f>IF(A594="","",IFERROR(P594/G594,""))</f>
        <v/>
      </c>
      <c r="R594" s="14">
        <f>IF(OR(A594="",G594=""),"",COUNTIFS($N$2:$N$1000,"&gt;0",$G$2:$G$1000,"&gt;"&amp;G594)+COUNTIFS($N$2:N594,"&gt;0",$G$2:G594,G594))</f>
        <v/>
      </c>
    </row>
    <row r="595">
      <c r="A595" s="9" t="n"/>
      <c r="B595" s="10" t="n"/>
      <c r="C595" s="10" t="n"/>
      <c r="D595" s="10" t="n"/>
      <c r="E595" s="10" t="n"/>
      <c r="F595" s="12" t="n"/>
      <c r="G595" s="13" t="n"/>
      <c r="H595" s="13" t="n"/>
      <c r="I595" s="13" t="n"/>
      <c r="J595" s="13" t="n"/>
      <c r="K595" s="13" t="n"/>
      <c r="L595" s="10" t="n"/>
      <c r="M595" s="10" t="n"/>
      <c r="N595" s="14">
        <f>IF(A595="","",WEEKNUM(A595,2))</f>
        <v/>
      </c>
      <c r="O595" s="15">
        <f>IF(OR(A595="",F595=""),"",LOOKUP(F595,Lists!$F$2:$F$5,Lists!$G$2:$G$5))</f>
        <v/>
      </c>
      <c r="P595" s="16">
        <f>IF(A595="","",SUM(H595:K595))</f>
        <v/>
      </c>
      <c r="Q595" s="17">
        <f>IF(A595="","",IFERROR(P595/G595,""))</f>
        <v/>
      </c>
      <c r="R595" s="14">
        <f>IF(OR(A595="",G595=""),"",COUNTIFS($N$2:$N$1000,"&gt;0",$G$2:$G$1000,"&gt;"&amp;G595)+COUNTIFS($N$2:N595,"&gt;0",$G$2:G595,G595))</f>
        <v/>
      </c>
    </row>
    <row r="596">
      <c r="A596" s="9" t="n"/>
      <c r="B596" s="10" t="n"/>
      <c r="C596" s="10" t="n"/>
      <c r="D596" s="10" t="n"/>
      <c r="E596" s="10" t="n"/>
      <c r="F596" s="12" t="n"/>
      <c r="G596" s="13" t="n"/>
      <c r="H596" s="13" t="n"/>
      <c r="I596" s="13" t="n"/>
      <c r="J596" s="13" t="n"/>
      <c r="K596" s="13" t="n"/>
      <c r="L596" s="10" t="n"/>
      <c r="M596" s="10" t="n"/>
      <c r="N596" s="14">
        <f>IF(A596="","",WEEKNUM(A596,2))</f>
        <v/>
      </c>
      <c r="O596" s="15">
        <f>IF(OR(A596="",F596=""),"",LOOKUP(F596,Lists!$F$2:$F$5,Lists!$G$2:$G$5))</f>
        <v/>
      </c>
      <c r="P596" s="16">
        <f>IF(A596="","",SUM(H596:K596))</f>
        <v/>
      </c>
      <c r="Q596" s="17">
        <f>IF(A596="","",IFERROR(P596/G596,""))</f>
        <v/>
      </c>
      <c r="R596" s="14">
        <f>IF(OR(A596="",G596=""),"",COUNTIFS($N$2:$N$1000,"&gt;0",$G$2:$G$1000,"&gt;"&amp;G596)+COUNTIFS($N$2:N596,"&gt;0",$G$2:G596,G596))</f>
        <v/>
      </c>
    </row>
    <row r="597">
      <c r="A597" s="9" t="n"/>
      <c r="B597" s="10" t="n"/>
      <c r="C597" s="10" t="n"/>
      <c r="D597" s="10" t="n"/>
      <c r="E597" s="10" t="n"/>
      <c r="F597" s="12" t="n"/>
      <c r="G597" s="13" t="n"/>
      <c r="H597" s="13" t="n"/>
      <c r="I597" s="13" t="n"/>
      <c r="J597" s="13" t="n"/>
      <c r="K597" s="13" t="n"/>
      <c r="L597" s="10" t="n"/>
      <c r="M597" s="10" t="n"/>
      <c r="N597" s="14">
        <f>IF(A597="","",WEEKNUM(A597,2))</f>
        <v/>
      </c>
      <c r="O597" s="15">
        <f>IF(OR(A597="",F597=""),"",LOOKUP(F597,Lists!$F$2:$F$5,Lists!$G$2:$G$5))</f>
        <v/>
      </c>
      <c r="P597" s="16">
        <f>IF(A597="","",SUM(H597:K597))</f>
        <v/>
      </c>
      <c r="Q597" s="17">
        <f>IF(A597="","",IFERROR(P597/G597,""))</f>
        <v/>
      </c>
      <c r="R597" s="14">
        <f>IF(OR(A597="",G597=""),"",COUNTIFS($N$2:$N$1000,"&gt;0",$G$2:$G$1000,"&gt;"&amp;G597)+COUNTIFS($N$2:N597,"&gt;0",$G$2:G597,G597))</f>
        <v/>
      </c>
    </row>
    <row r="598">
      <c r="A598" s="9" t="n"/>
      <c r="B598" s="10" t="n"/>
      <c r="C598" s="10" t="n"/>
      <c r="D598" s="10" t="n"/>
      <c r="E598" s="10" t="n"/>
      <c r="F598" s="12" t="n"/>
      <c r="G598" s="13" t="n"/>
      <c r="H598" s="13" t="n"/>
      <c r="I598" s="13" t="n"/>
      <c r="J598" s="13" t="n"/>
      <c r="K598" s="13" t="n"/>
      <c r="L598" s="10" t="n"/>
      <c r="M598" s="10" t="n"/>
      <c r="N598" s="14">
        <f>IF(A598="","",WEEKNUM(A598,2))</f>
        <v/>
      </c>
      <c r="O598" s="15">
        <f>IF(OR(A598="",F598=""),"",LOOKUP(F598,Lists!$F$2:$F$5,Lists!$G$2:$G$5))</f>
        <v/>
      </c>
      <c r="P598" s="16">
        <f>IF(A598="","",SUM(H598:K598))</f>
        <v/>
      </c>
      <c r="Q598" s="17">
        <f>IF(A598="","",IFERROR(P598/G598,""))</f>
        <v/>
      </c>
      <c r="R598" s="14">
        <f>IF(OR(A598="",G598=""),"",COUNTIFS($N$2:$N$1000,"&gt;0",$G$2:$G$1000,"&gt;"&amp;G598)+COUNTIFS($N$2:N598,"&gt;0",$G$2:G598,G598))</f>
        <v/>
      </c>
    </row>
    <row r="599">
      <c r="A599" s="9" t="n"/>
      <c r="B599" s="10" t="n"/>
      <c r="C599" s="10" t="n"/>
      <c r="D599" s="10" t="n"/>
      <c r="E599" s="10" t="n"/>
      <c r="F599" s="12" t="n"/>
      <c r="G599" s="13" t="n"/>
      <c r="H599" s="13" t="n"/>
      <c r="I599" s="13" t="n"/>
      <c r="J599" s="13" t="n"/>
      <c r="K599" s="13" t="n"/>
      <c r="L599" s="10" t="n"/>
      <c r="M599" s="10" t="n"/>
      <c r="N599" s="14">
        <f>IF(A599="","",WEEKNUM(A599,2))</f>
        <v/>
      </c>
      <c r="O599" s="15">
        <f>IF(OR(A599="",F599=""),"",LOOKUP(F599,Lists!$F$2:$F$5,Lists!$G$2:$G$5))</f>
        <v/>
      </c>
      <c r="P599" s="16">
        <f>IF(A599="","",SUM(H599:K599))</f>
        <v/>
      </c>
      <c r="Q599" s="17">
        <f>IF(A599="","",IFERROR(P599/G599,""))</f>
        <v/>
      </c>
      <c r="R599" s="14">
        <f>IF(OR(A599="",G599=""),"",COUNTIFS($N$2:$N$1000,"&gt;0",$G$2:$G$1000,"&gt;"&amp;G599)+COUNTIFS($N$2:N599,"&gt;0",$G$2:G599,G599))</f>
        <v/>
      </c>
    </row>
    <row r="600">
      <c r="A600" s="9" t="n"/>
      <c r="B600" s="10" t="n"/>
      <c r="C600" s="10" t="n"/>
      <c r="D600" s="10" t="n"/>
      <c r="E600" s="10" t="n"/>
      <c r="F600" s="12" t="n"/>
      <c r="G600" s="13" t="n"/>
      <c r="H600" s="13" t="n"/>
      <c r="I600" s="13" t="n"/>
      <c r="J600" s="13" t="n"/>
      <c r="K600" s="13" t="n"/>
      <c r="L600" s="10" t="n"/>
      <c r="M600" s="10" t="n"/>
      <c r="N600" s="14">
        <f>IF(A600="","",WEEKNUM(A600,2))</f>
        <v/>
      </c>
      <c r="O600" s="15">
        <f>IF(OR(A600="",F600=""),"",LOOKUP(F600,Lists!$F$2:$F$5,Lists!$G$2:$G$5))</f>
        <v/>
      </c>
      <c r="P600" s="16">
        <f>IF(A600="","",SUM(H600:K600))</f>
        <v/>
      </c>
      <c r="Q600" s="17">
        <f>IF(A600="","",IFERROR(P600/G600,""))</f>
        <v/>
      </c>
      <c r="R600" s="14">
        <f>IF(OR(A600="",G600=""),"",COUNTIFS($N$2:$N$1000,"&gt;0",$G$2:$G$1000,"&gt;"&amp;G600)+COUNTIFS($N$2:N600,"&gt;0",$G$2:G600,G600))</f>
        <v/>
      </c>
    </row>
    <row r="601">
      <c r="A601" s="9" t="n"/>
      <c r="B601" s="10" t="n"/>
      <c r="C601" s="10" t="n"/>
      <c r="D601" s="10" t="n"/>
      <c r="E601" s="10" t="n"/>
      <c r="F601" s="12" t="n"/>
      <c r="G601" s="13" t="n"/>
      <c r="H601" s="13" t="n"/>
      <c r="I601" s="13" t="n"/>
      <c r="J601" s="13" t="n"/>
      <c r="K601" s="13" t="n"/>
      <c r="L601" s="10" t="n"/>
      <c r="M601" s="10" t="n"/>
      <c r="N601" s="14">
        <f>IF(A601="","",WEEKNUM(A601,2))</f>
        <v/>
      </c>
      <c r="O601" s="15">
        <f>IF(OR(A601="",F601=""),"",LOOKUP(F601,Lists!$F$2:$F$5,Lists!$G$2:$G$5))</f>
        <v/>
      </c>
      <c r="P601" s="16">
        <f>IF(A601="","",SUM(H601:K601))</f>
        <v/>
      </c>
      <c r="Q601" s="17">
        <f>IF(A601="","",IFERROR(P601/G601,""))</f>
        <v/>
      </c>
      <c r="R601" s="14">
        <f>IF(OR(A601="",G601=""),"",COUNTIFS($N$2:$N$1000,"&gt;0",$G$2:$G$1000,"&gt;"&amp;G601)+COUNTIFS($N$2:N601,"&gt;0",$G$2:G601,G601))</f>
        <v/>
      </c>
    </row>
    <row r="602">
      <c r="A602" s="9" t="n"/>
      <c r="B602" s="10" t="n"/>
      <c r="C602" s="10" t="n"/>
      <c r="D602" s="10" t="n"/>
      <c r="E602" s="10" t="n"/>
      <c r="F602" s="12" t="n"/>
      <c r="G602" s="13" t="n"/>
      <c r="H602" s="13" t="n"/>
      <c r="I602" s="13" t="n"/>
      <c r="J602" s="13" t="n"/>
      <c r="K602" s="13" t="n"/>
      <c r="L602" s="10" t="n"/>
      <c r="M602" s="10" t="n"/>
      <c r="N602" s="14">
        <f>IF(A602="","",WEEKNUM(A602,2))</f>
        <v/>
      </c>
      <c r="O602" s="15">
        <f>IF(OR(A602="",F602=""),"",LOOKUP(F602,Lists!$F$2:$F$5,Lists!$G$2:$G$5))</f>
        <v/>
      </c>
      <c r="P602" s="16">
        <f>IF(A602="","",SUM(H602:K602))</f>
        <v/>
      </c>
      <c r="Q602" s="17">
        <f>IF(A602="","",IFERROR(P602/G602,""))</f>
        <v/>
      </c>
      <c r="R602" s="14">
        <f>IF(OR(A602="",G602=""),"",COUNTIFS($N$2:$N$1000,"&gt;0",$G$2:$G$1000,"&gt;"&amp;G602)+COUNTIFS($N$2:N602,"&gt;0",$G$2:G602,G602))</f>
        <v/>
      </c>
    </row>
    <row r="603">
      <c r="A603" s="9" t="n"/>
      <c r="B603" s="10" t="n"/>
      <c r="C603" s="10" t="n"/>
      <c r="D603" s="10" t="n"/>
      <c r="E603" s="10" t="n"/>
      <c r="F603" s="12" t="n"/>
      <c r="G603" s="13" t="n"/>
      <c r="H603" s="13" t="n"/>
      <c r="I603" s="13" t="n"/>
      <c r="J603" s="13" t="n"/>
      <c r="K603" s="13" t="n"/>
      <c r="L603" s="10" t="n"/>
      <c r="M603" s="10" t="n"/>
      <c r="N603" s="14">
        <f>IF(A603="","",WEEKNUM(A603,2))</f>
        <v/>
      </c>
      <c r="O603" s="15">
        <f>IF(OR(A603="",F603=""),"",LOOKUP(F603,Lists!$F$2:$F$5,Lists!$G$2:$G$5))</f>
        <v/>
      </c>
      <c r="P603" s="16">
        <f>IF(A603="","",SUM(H603:K603))</f>
        <v/>
      </c>
      <c r="Q603" s="17">
        <f>IF(A603="","",IFERROR(P603/G603,""))</f>
        <v/>
      </c>
      <c r="R603" s="14">
        <f>IF(OR(A603="",G603=""),"",COUNTIFS($N$2:$N$1000,"&gt;0",$G$2:$G$1000,"&gt;"&amp;G603)+COUNTIFS($N$2:N603,"&gt;0",$G$2:G603,G603))</f>
        <v/>
      </c>
    </row>
    <row r="604">
      <c r="A604" s="9" t="n"/>
      <c r="B604" s="10" t="n"/>
      <c r="C604" s="10" t="n"/>
      <c r="D604" s="10" t="n"/>
      <c r="E604" s="10" t="n"/>
      <c r="F604" s="12" t="n"/>
      <c r="G604" s="13" t="n"/>
      <c r="H604" s="13" t="n"/>
      <c r="I604" s="13" t="n"/>
      <c r="J604" s="13" t="n"/>
      <c r="K604" s="13" t="n"/>
      <c r="L604" s="10" t="n"/>
      <c r="M604" s="10" t="n"/>
      <c r="N604" s="14">
        <f>IF(A604="","",WEEKNUM(A604,2))</f>
        <v/>
      </c>
      <c r="O604" s="15">
        <f>IF(OR(A604="",F604=""),"",LOOKUP(F604,Lists!$F$2:$F$5,Lists!$G$2:$G$5))</f>
        <v/>
      </c>
      <c r="P604" s="16">
        <f>IF(A604="","",SUM(H604:K604))</f>
        <v/>
      </c>
      <c r="Q604" s="17">
        <f>IF(A604="","",IFERROR(P604/G604,""))</f>
        <v/>
      </c>
      <c r="R604" s="14">
        <f>IF(OR(A604="",G604=""),"",COUNTIFS($N$2:$N$1000,"&gt;0",$G$2:$G$1000,"&gt;"&amp;G604)+COUNTIFS($N$2:N604,"&gt;0",$G$2:G604,G604))</f>
        <v/>
      </c>
    </row>
    <row r="605">
      <c r="A605" s="9" t="n"/>
      <c r="B605" s="10" t="n"/>
      <c r="C605" s="10" t="n"/>
      <c r="D605" s="10" t="n"/>
      <c r="E605" s="10" t="n"/>
      <c r="F605" s="12" t="n"/>
      <c r="G605" s="13" t="n"/>
      <c r="H605" s="13" t="n"/>
      <c r="I605" s="13" t="n"/>
      <c r="J605" s="13" t="n"/>
      <c r="K605" s="13" t="n"/>
      <c r="L605" s="10" t="n"/>
      <c r="M605" s="10" t="n"/>
      <c r="N605" s="14">
        <f>IF(A605="","",WEEKNUM(A605,2))</f>
        <v/>
      </c>
      <c r="O605" s="15">
        <f>IF(OR(A605="",F605=""),"",LOOKUP(F605,Lists!$F$2:$F$5,Lists!$G$2:$G$5))</f>
        <v/>
      </c>
      <c r="P605" s="16">
        <f>IF(A605="","",SUM(H605:K605))</f>
        <v/>
      </c>
      <c r="Q605" s="17">
        <f>IF(A605="","",IFERROR(P605/G605,""))</f>
        <v/>
      </c>
      <c r="R605" s="14">
        <f>IF(OR(A605="",G605=""),"",COUNTIFS($N$2:$N$1000,"&gt;0",$G$2:$G$1000,"&gt;"&amp;G605)+COUNTIFS($N$2:N605,"&gt;0",$G$2:G605,G605))</f>
        <v/>
      </c>
    </row>
    <row r="606">
      <c r="A606" s="9" t="n"/>
      <c r="B606" s="10" t="n"/>
      <c r="C606" s="10" t="n"/>
      <c r="D606" s="10" t="n"/>
      <c r="E606" s="10" t="n"/>
      <c r="F606" s="12" t="n"/>
      <c r="G606" s="13" t="n"/>
      <c r="H606" s="13" t="n"/>
      <c r="I606" s="13" t="n"/>
      <c r="J606" s="13" t="n"/>
      <c r="K606" s="13" t="n"/>
      <c r="L606" s="10" t="n"/>
      <c r="M606" s="10" t="n"/>
      <c r="N606" s="14">
        <f>IF(A606="","",WEEKNUM(A606,2))</f>
        <v/>
      </c>
      <c r="O606" s="15">
        <f>IF(OR(A606="",F606=""),"",LOOKUP(F606,Lists!$F$2:$F$5,Lists!$G$2:$G$5))</f>
        <v/>
      </c>
      <c r="P606" s="16">
        <f>IF(A606="","",SUM(H606:K606))</f>
        <v/>
      </c>
      <c r="Q606" s="17">
        <f>IF(A606="","",IFERROR(P606/G606,""))</f>
        <v/>
      </c>
      <c r="R606" s="14">
        <f>IF(OR(A606="",G606=""),"",COUNTIFS($N$2:$N$1000,"&gt;0",$G$2:$G$1000,"&gt;"&amp;G606)+COUNTIFS($N$2:N606,"&gt;0",$G$2:G606,G606))</f>
        <v/>
      </c>
    </row>
    <row r="607">
      <c r="A607" s="9" t="n"/>
      <c r="B607" s="10" t="n"/>
      <c r="C607" s="10" t="n"/>
      <c r="D607" s="10" t="n"/>
      <c r="E607" s="10" t="n"/>
      <c r="F607" s="12" t="n"/>
      <c r="G607" s="13" t="n"/>
      <c r="H607" s="13" t="n"/>
      <c r="I607" s="13" t="n"/>
      <c r="J607" s="13" t="n"/>
      <c r="K607" s="13" t="n"/>
      <c r="L607" s="10" t="n"/>
      <c r="M607" s="10" t="n"/>
      <c r="N607" s="14">
        <f>IF(A607="","",WEEKNUM(A607,2))</f>
        <v/>
      </c>
      <c r="O607" s="15">
        <f>IF(OR(A607="",F607=""),"",LOOKUP(F607,Lists!$F$2:$F$5,Lists!$G$2:$G$5))</f>
        <v/>
      </c>
      <c r="P607" s="16">
        <f>IF(A607="","",SUM(H607:K607))</f>
        <v/>
      </c>
      <c r="Q607" s="17">
        <f>IF(A607="","",IFERROR(P607/G607,""))</f>
        <v/>
      </c>
      <c r="R607" s="14">
        <f>IF(OR(A607="",G607=""),"",COUNTIFS($N$2:$N$1000,"&gt;0",$G$2:$G$1000,"&gt;"&amp;G607)+COUNTIFS($N$2:N607,"&gt;0",$G$2:G607,G607))</f>
        <v/>
      </c>
    </row>
    <row r="608">
      <c r="A608" s="9" t="n"/>
      <c r="B608" s="10" t="n"/>
      <c r="C608" s="10" t="n"/>
      <c r="D608" s="10" t="n"/>
      <c r="E608" s="10" t="n"/>
      <c r="F608" s="12" t="n"/>
      <c r="G608" s="13" t="n"/>
      <c r="H608" s="13" t="n"/>
      <c r="I608" s="13" t="n"/>
      <c r="J608" s="13" t="n"/>
      <c r="K608" s="13" t="n"/>
      <c r="L608" s="10" t="n"/>
      <c r="M608" s="10" t="n"/>
      <c r="N608" s="14">
        <f>IF(A608="","",WEEKNUM(A608,2))</f>
        <v/>
      </c>
      <c r="O608" s="15">
        <f>IF(OR(A608="",F608=""),"",LOOKUP(F608,Lists!$F$2:$F$5,Lists!$G$2:$G$5))</f>
        <v/>
      </c>
      <c r="P608" s="16">
        <f>IF(A608="","",SUM(H608:K608))</f>
        <v/>
      </c>
      <c r="Q608" s="17">
        <f>IF(A608="","",IFERROR(P608/G608,""))</f>
        <v/>
      </c>
      <c r="R608" s="14">
        <f>IF(OR(A608="",G608=""),"",COUNTIFS($N$2:$N$1000,"&gt;0",$G$2:$G$1000,"&gt;"&amp;G608)+COUNTIFS($N$2:N608,"&gt;0",$G$2:G608,G608))</f>
        <v/>
      </c>
    </row>
    <row r="609">
      <c r="A609" s="9" t="n"/>
      <c r="B609" s="10" t="n"/>
      <c r="C609" s="10" t="n"/>
      <c r="D609" s="10" t="n"/>
      <c r="E609" s="10" t="n"/>
      <c r="F609" s="12" t="n"/>
      <c r="G609" s="13" t="n"/>
      <c r="H609" s="13" t="n"/>
      <c r="I609" s="13" t="n"/>
      <c r="J609" s="13" t="n"/>
      <c r="K609" s="13" t="n"/>
      <c r="L609" s="10" t="n"/>
      <c r="M609" s="10" t="n"/>
      <c r="N609" s="14">
        <f>IF(A609="","",WEEKNUM(A609,2))</f>
        <v/>
      </c>
      <c r="O609" s="15">
        <f>IF(OR(A609="",F609=""),"",LOOKUP(F609,Lists!$F$2:$F$5,Lists!$G$2:$G$5))</f>
        <v/>
      </c>
      <c r="P609" s="16">
        <f>IF(A609="","",SUM(H609:K609))</f>
        <v/>
      </c>
      <c r="Q609" s="17">
        <f>IF(A609="","",IFERROR(P609/G609,""))</f>
        <v/>
      </c>
      <c r="R609" s="14">
        <f>IF(OR(A609="",G609=""),"",COUNTIFS($N$2:$N$1000,"&gt;0",$G$2:$G$1000,"&gt;"&amp;G609)+COUNTIFS($N$2:N609,"&gt;0",$G$2:G609,G609))</f>
        <v/>
      </c>
    </row>
    <row r="610">
      <c r="A610" s="9" t="n"/>
      <c r="B610" s="10" t="n"/>
      <c r="C610" s="10" t="n"/>
      <c r="D610" s="10" t="n"/>
      <c r="E610" s="10" t="n"/>
      <c r="F610" s="12" t="n"/>
      <c r="G610" s="13" t="n"/>
      <c r="H610" s="13" t="n"/>
      <c r="I610" s="13" t="n"/>
      <c r="J610" s="13" t="n"/>
      <c r="K610" s="13" t="n"/>
      <c r="L610" s="10" t="n"/>
      <c r="M610" s="10" t="n"/>
      <c r="N610" s="14">
        <f>IF(A610="","",WEEKNUM(A610,2))</f>
        <v/>
      </c>
      <c r="O610" s="15">
        <f>IF(OR(A610="",F610=""),"",LOOKUP(F610,Lists!$F$2:$F$5,Lists!$G$2:$G$5))</f>
        <v/>
      </c>
      <c r="P610" s="16">
        <f>IF(A610="","",SUM(H610:K610))</f>
        <v/>
      </c>
      <c r="Q610" s="17">
        <f>IF(A610="","",IFERROR(P610/G610,""))</f>
        <v/>
      </c>
      <c r="R610" s="14">
        <f>IF(OR(A610="",G610=""),"",COUNTIFS($N$2:$N$1000,"&gt;0",$G$2:$G$1000,"&gt;"&amp;G610)+COUNTIFS($N$2:N610,"&gt;0",$G$2:G610,G610))</f>
        <v/>
      </c>
    </row>
    <row r="611">
      <c r="A611" s="9" t="n"/>
      <c r="B611" s="10" t="n"/>
      <c r="C611" s="10" t="n"/>
      <c r="D611" s="10" t="n"/>
      <c r="E611" s="10" t="n"/>
      <c r="F611" s="12" t="n"/>
      <c r="G611" s="13" t="n"/>
      <c r="H611" s="13" t="n"/>
      <c r="I611" s="13" t="n"/>
      <c r="J611" s="13" t="n"/>
      <c r="K611" s="13" t="n"/>
      <c r="L611" s="10" t="n"/>
      <c r="M611" s="10" t="n"/>
      <c r="N611" s="14">
        <f>IF(A611="","",WEEKNUM(A611,2))</f>
        <v/>
      </c>
      <c r="O611" s="15">
        <f>IF(OR(A611="",F611=""),"",LOOKUP(F611,Lists!$F$2:$F$5,Lists!$G$2:$G$5))</f>
        <v/>
      </c>
      <c r="P611" s="16">
        <f>IF(A611="","",SUM(H611:K611))</f>
        <v/>
      </c>
      <c r="Q611" s="17">
        <f>IF(A611="","",IFERROR(P611/G611,""))</f>
        <v/>
      </c>
      <c r="R611" s="14">
        <f>IF(OR(A611="",G611=""),"",COUNTIFS($N$2:$N$1000,"&gt;0",$G$2:$G$1000,"&gt;"&amp;G611)+COUNTIFS($N$2:N611,"&gt;0",$G$2:G611,G611))</f>
        <v/>
      </c>
    </row>
    <row r="612">
      <c r="A612" s="9" t="n"/>
      <c r="B612" s="10" t="n"/>
      <c r="C612" s="10" t="n"/>
      <c r="D612" s="10" t="n"/>
      <c r="E612" s="10" t="n"/>
      <c r="F612" s="12" t="n"/>
      <c r="G612" s="13" t="n"/>
      <c r="H612" s="13" t="n"/>
      <c r="I612" s="13" t="n"/>
      <c r="J612" s="13" t="n"/>
      <c r="K612" s="13" t="n"/>
      <c r="L612" s="10" t="n"/>
      <c r="M612" s="10" t="n"/>
      <c r="N612" s="14">
        <f>IF(A612="","",WEEKNUM(A612,2))</f>
        <v/>
      </c>
      <c r="O612" s="15">
        <f>IF(OR(A612="",F612=""),"",LOOKUP(F612,Lists!$F$2:$F$5,Lists!$G$2:$G$5))</f>
        <v/>
      </c>
      <c r="P612" s="16">
        <f>IF(A612="","",SUM(H612:K612))</f>
        <v/>
      </c>
      <c r="Q612" s="17">
        <f>IF(A612="","",IFERROR(P612/G612,""))</f>
        <v/>
      </c>
      <c r="R612" s="14">
        <f>IF(OR(A612="",G612=""),"",COUNTIFS($N$2:$N$1000,"&gt;0",$G$2:$G$1000,"&gt;"&amp;G612)+COUNTIFS($N$2:N612,"&gt;0",$G$2:G612,G612))</f>
        <v/>
      </c>
    </row>
    <row r="613">
      <c r="A613" s="9" t="n"/>
      <c r="B613" s="10" t="n"/>
      <c r="C613" s="10" t="n"/>
      <c r="D613" s="10" t="n"/>
      <c r="E613" s="10" t="n"/>
      <c r="F613" s="12" t="n"/>
      <c r="G613" s="13" t="n"/>
      <c r="H613" s="13" t="n"/>
      <c r="I613" s="13" t="n"/>
      <c r="J613" s="13" t="n"/>
      <c r="K613" s="13" t="n"/>
      <c r="L613" s="10" t="n"/>
      <c r="M613" s="10" t="n"/>
      <c r="N613" s="14">
        <f>IF(A613="","",WEEKNUM(A613,2))</f>
        <v/>
      </c>
      <c r="O613" s="15">
        <f>IF(OR(A613="",F613=""),"",LOOKUP(F613,Lists!$F$2:$F$5,Lists!$G$2:$G$5))</f>
        <v/>
      </c>
      <c r="P613" s="16">
        <f>IF(A613="","",SUM(H613:K613))</f>
        <v/>
      </c>
      <c r="Q613" s="17">
        <f>IF(A613="","",IFERROR(P613/G613,""))</f>
        <v/>
      </c>
      <c r="R613" s="14">
        <f>IF(OR(A613="",G613=""),"",COUNTIFS($N$2:$N$1000,"&gt;0",$G$2:$G$1000,"&gt;"&amp;G613)+COUNTIFS($N$2:N613,"&gt;0",$G$2:G613,G613))</f>
        <v/>
      </c>
    </row>
    <row r="614">
      <c r="A614" s="9" t="n"/>
      <c r="B614" s="10" t="n"/>
      <c r="C614" s="10" t="n"/>
      <c r="D614" s="10" t="n"/>
      <c r="E614" s="10" t="n"/>
      <c r="F614" s="12" t="n"/>
      <c r="G614" s="13" t="n"/>
      <c r="H614" s="13" t="n"/>
      <c r="I614" s="13" t="n"/>
      <c r="J614" s="13" t="n"/>
      <c r="K614" s="13" t="n"/>
      <c r="L614" s="10" t="n"/>
      <c r="M614" s="10" t="n"/>
      <c r="N614" s="14">
        <f>IF(A614="","",WEEKNUM(A614,2))</f>
        <v/>
      </c>
      <c r="O614" s="15">
        <f>IF(OR(A614="",F614=""),"",LOOKUP(F614,Lists!$F$2:$F$5,Lists!$G$2:$G$5))</f>
        <v/>
      </c>
      <c r="P614" s="16">
        <f>IF(A614="","",SUM(H614:K614))</f>
        <v/>
      </c>
      <c r="Q614" s="17">
        <f>IF(A614="","",IFERROR(P614/G614,""))</f>
        <v/>
      </c>
      <c r="R614" s="14">
        <f>IF(OR(A614="",G614=""),"",COUNTIFS($N$2:$N$1000,"&gt;0",$G$2:$G$1000,"&gt;"&amp;G614)+COUNTIFS($N$2:N614,"&gt;0",$G$2:G614,G614))</f>
        <v/>
      </c>
    </row>
    <row r="615">
      <c r="A615" s="9" t="n"/>
      <c r="B615" s="10" t="n"/>
      <c r="C615" s="10" t="n"/>
      <c r="D615" s="10" t="n"/>
      <c r="E615" s="10" t="n"/>
      <c r="F615" s="12" t="n"/>
      <c r="G615" s="13" t="n"/>
      <c r="H615" s="13" t="n"/>
      <c r="I615" s="13" t="n"/>
      <c r="J615" s="13" t="n"/>
      <c r="K615" s="13" t="n"/>
      <c r="L615" s="10" t="n"/>
      <c r="M615" s="10" t="n"/>
      <c r="N615" s="14">
        <f>IF(A615="","",WEEKNUM(A615,2))</f>
        <v/>
      </c>
      <c r="O615" s="15">
        <f>IF(OR(A615="",F615=""),"",LOOKUP(F615,Lists!$F$2:$F$5,Lists!$G$2:$G$5))</f>
        <v/>
      </c>
      <c r="P615" s="16">
        <f>IF(A615="","",SUM(H615:K615))</f>
        <v/>
      </c>
      <c r="Q615" s="17">
        <f>IF(A615="","",IFERROR(P615/G615,""))</f>
        <v/>
      </c>
      <c r="R615" s="14">
        <f>IF(OR(A615="",G615=""),"",COUNTIFS($N$2:$N$1000,"&gt;0",$G$2:$G$1000,"&gt;"&amp;G615)+COUNTIFS($N$2:N615,"&gt;0",$G$2:G615,G615))</f>
        <v/>
      </c>
    </row>
    <row r="616">
      <c r="A616" s="9" t="n"/>
      <c r="B616" s="10" t="n"/>
      <c r="C616" s="10" t="n"/>
      <c r="D616" s="10" t="n"/>
      <c r="E616" s="10" t="n"/>
      <c r="F616" s="12" t="n"/>
      <c r="G616" s="13" t="n"/>
      <c r="H616" s="13" t="n"/>
      <c r="I616" s="13" t="n"/>
      <c r="J616" s="13" t="n"/>
      <c r="K616" s="13" t="n"/>
      <c r="L616" s="10" t="n"/>
      <c r="M616" s="10" t="n"/>
      <c r="N616" s="14">
        <f>IF(A616="","",WEEKNUM(A616,2))</f>
        <v/>
      </c>
      <c r="O616" s="15">
        <f>IF(OR(A616="",F616=""),"",LOOKUP(F616,Lists!$F$2:$F$5,Lists!$G$2:$G$5))</f>
        <v/>
      </c>
      <c r="P616" s="16">
        <f>IF(A616="","",SUM(H616:K616))</f>
        <v/>
      </c>
      <c r="Q616" s="17">
        <f>IF(A616="","",IFERROR(P616/G616,""))</f>
        <v/>
      </c>
      <c r="R616" s="14">
        <f>IF(OR(A616="",G616=""),"",COUNTIFS($N$2:$N$1000,"&gt;0",$G$2:$G$1000,"&gt;"&amp;G616)+COUNTIFS($N$2:N616,"&gt;0",$G$2:G616,G616))</f>
        <v/>
      </c>
    </row>
    <row r="617">
      <c r="A617" s="9" t="n"/>
      <c r="B617" s="10" t="n"/>
      <c r="C617" s="10" t="n"/>
      <c r="D617" s="10" t="n"/>
      <c r="E617" s="10" t="n"/>
      <c r="F617" s="12" t="n"/>
      <c r="G617" s="13" t="n"/>
      <c r="H617" s="13" t="n"/>
      <c r="I617" s="13" t="n"/>
      <c r="J617" s="13" t="n"/>
      <c r="K617" s="13" t="n"/>
      <c r="L617" s="10" t="n"/>
      <c r="M617" s="10" t="n"/>
      <c r="N617" s="14">
        <f>IF(A617="","",WEEKNUM(A617,2))</f>
        <v/>
      </c>
      <c r="O617" s="15">
        <f>IF(OR(A617="",F617=""),"",LOOKUP(F617,Lists!$F$2:$F$5,Lists!$G$2:$G$5))</f>
        <v/>
      </c>
      <c r="P617" s="16">
        <f>IF(A617="","",SUM(H617:K617))</f>
        <v/>
      </c>
      <c r="Q617" s="17">
        <f>IF(A617="","",IFERROR(P617/G617,""))</f>
        <v/>
      </c>
      <c r="R617" s="14">
        <f>IF(OR(A617="",G617=""),"",COUNTIFS($N$2:$N$1000,"&gt;0",$G$2:$G$1000,"&gt;"&amp;G617)+COUNTIFS($N$2:N617,"&gt;0",$G$2:G617,G617))</f>
        <v/>
      </c>
    </row>
    <row r="618">
      <c r="A618" s="9" t="n"/>
      <c r="B618" s="10" t="n"/>
      <c r="C618" s="10" t="n"/>
      <c r="D618" s="10" t="n"/>
      <c r="E618" s="10" t="n"/>
      <c r="F618" s="12" t="n"/>
      <c r="G618" s="13" t="n"/>
      <c r="H618" s="13" t="n"/>
      <c r="I618" s="13" t="n"/>
      <c r="J618" s="13" t="n"/>
      <c r="K618" s="13" t="n"/>
      <c r="L618" s="10" t="n"/>
      <c r="M618" s="10" t="n"/>
      <c r="N618" s="14">
        <f>IF(A618="","",WEEKNUM(A618,2))</f>
        <v/>
      </c>
      <c r="O618" s="15">
        <f>IF(OR(A618="",F618=""),"",LOOKUP(F618,Lists!$F$2:$F$5,Lists!$G$2:$G$5))</f>
        <v/>
      </c>
      <c r="P618" s="16">
        <f>IF(A618="","",SUM(H618:K618))</f>
        <v/>
      </c>
      <c r="Q618" s="17">
        <f>IF(A618="","",IFERROR(P618/G618,""))</f>
        <v/>
      </c>
      <c r="R618" s="14">
        <f>IF(OR(A618="",G618=""),"",COUNTIFS($N$2:$N$1000,"&gt;0",$G$2:$G$1000,"&gt;"&amp;G618)+COUNTIFS($N$2:N618,"&gt;0",$G$2:G618,G618))</f>
        <v/>
      </c>
    </row>
    <row r="619">
      <c r="A619" s="9" t="n"/>
      <c r="B619" s="10" t="n"/>
      <c r="C619" s="10" t="n"/>
      <c r="D619" s="10" t="n"/>
      <c r="E619" s="10" t="n"/>
      <c r="F619" s="12" t="n"/>
      <c r="G619" s="13" t="n"/>
      <c r="H619" s="13" t="n"/>
      <c r="I619" s="13" t="n"/>
      <c r="J619" s="13" t="n"/>
      <c r="K619" s="13" t="n"/>
      <c r="L619" s="10" t="n"/>
      <c r="M619" s="10" t="n"/>
      <c r="N619" s="14">
        <f>IF(A619="","",WEEKNUM(A619,2))</f>
        <v/>
      </c>
      <c r="O619" s="15">
        <f>IF(OR(A619="",F619=""),"",LOOKUP(F619,Lists!$F$2:$F$5,Lists!$G$2:$G$5))</f>
        <v/>
      </c>
      <c r="P619" s="16">
        <f>IF(A619="","",SUM(H619:K619))</f>
        <v/>
      </c>
      <c r="Q619" s="17">
        <f>IF(A619="","",IFERROR(P619/G619,""))</f>
        <v/>
      </c>
      <c r="R619" s="14">
        <f>IF(OR(A619="",G619=""),"",COUNTIFS($N$2:$N$1000,"&gt;0",$G$2:$G$1000,"&gt;"&amp;G619)+COUNTIFS($N$2:N619,"&gt;0",$G$2:G619,G619))</f>
        <v/>
      </c>
    </row>
    <row r="620">
      <c r="A620" s="9" t="n"/>
      <c r="B620" s="10" t="n"/>
      <c r="C620" s="10" t="n"/>
      <c r="D620" s="10" t="n"/>
      <c r="E620" s="10" t="n"/>
      <c r="F620" s="12" t="n"/>
      <c r="G620" s="13" t="n"/>
      <c r="H620" s="13" t="n"/>
      <c r="I620" s="13" t="n"/>
      <c r="J620" s="13" t="n"/>
      <c r="K620" s="13" t="n"/>
      <c r="L620" s="10" t="n"/>
      <c r="M620" s="10" t="n"/>
      <c r="N620" s="14">
        <f>IF(A620="","",WEEKNUM(A620,2))</f>
        <v/>
      </c>
      <c r="O620" s="15">
        <f>IF(OR(A620="",F620=""),"",LOOKUP(F620,Lists!$F$2:$F$5,Lists!$G$2:$G$5))</f>
        <v/>
      </c>
      <c r="P620" s="16">
        <f>IF(A620="","",SUM(H620:K620))</f>
        <v/>
      </c>
      <c r="Q620" s="17">
        <f>IF(A620="","",IFERROR(P620/G620,""))</f>
        <v/>
      </c>
      <c r="R620" s="14">
        <f>IF(OR(A620="",G620=""),"",COUNTIFS($N$2:$N$1000,"&gt;0",$G$2:$G$1000,"&gt;"&amp;G620)+COUNTIFS($N$2:N620,"&gt;0",$G$2:G620,G620))</f>
        <v/>
      </c>
    </row>
    <row r="621">
      <c r="A621" s="9" t="n"/>
      <c r="B621" s="10" t="n"/>
      <c r="C621" s="10" t="n"/>
      <c r="D621" s="10" t="n"/>
      <c r="E621" s="10" t="n"/>
      <c r="F621" s="12" t="n"/>
      <c r="G621" s="13" t="n"/>
      <c r="H621" s="13" t="n"/>
      <c r="I621" s="13" t="n"/>
      <c r="J621" s="13" t="n"/>
      <c r="K621" s="13" t="n"/>
      <c r="L621" s="10" t="n"/>
      <c r="M621" s="10" t="n"/>
      <c r="N621" s="14">
        <f>IF(A621="","",WEEKNUM(A621,2))</f>
        <v/>
      </c>
      <c r="O621" s="15">
        <f>IF(OR(A621="",F621=""),"",LOOKUP(F621,Lists!$F$2:$F$5,Lists!$G$2:$G$5))</f>
        <v/>
      </c>
      <c r="P621" s="16">
        <f>IF(A621="","",SUM(H621:K621))</f>
        <v/>
      </c>
      <c r="Q621" s="17">
        <f>IF(A621="","",IFERROR(P621/G621,""))</f>
        <v/>
      </c>
      <c r="R621" s="14">
        <f>IF(OR(A621="",G621=""),"",COUNTIFS($N$2:$N$1000,"&gt;0",$G$2:$G$1000,"&gt;"&amp;G621)+COUNTIFS($N$2:N621,"&gt;0",$G$2:G621,G621))</f>
        <v/>
      </c>
    </row>
    <row r="622">
      <c r="A622" s="9" t="n"/>
      <c r="B622" s="10" t="n"/>
      <c r="C622" s="10" t="n"/>
      <c r="D622" s="10" t="n"/>
      <c r="E622" s="10" t="n"/>
      <c r="F622" s="12" t="n"/>
      <c r="G622" s="13" t="n"/>
      <c r="H622" s="13" t="n"/>
      <c r="I622" s="13" t="n"/>
      <c r="J622" s="13" t="n"/>
      <c r="K622" s="13" t="n"/>
      <c r="L622" s="10" t="n"/>
      <c r="M622" s="10" t="n"/>
      <c r="N622" s="14">
        <f>IF(A622="","",WEEKNUM(A622,2))</f>
        <v/>
      </c>
      <c r="O622" s="15">
        <f>IF(OR(A622="",F622=""),"",LOOKUP(F622,Lists!$F$2:$F$5,Lists!$G$2:$G$5))</f>
        <v/>
      </c>
      <c r="P622" s="16">
        <f>IF(A622="","",SUM(H622:K622))</f>
        <v/>
      </c>
      <c r="Q622" s="17">
        <f>IF(A622="","",IFERROR(P622/G622,""))</f>
        <v/>
      </c>
      <c r="R622" s="14">
        <f>IF(OR(A622="",G622=""),"",COUNTIFS($N$2:$N$1000,"&gt;0",$G$2:$G$1000,"&gt;"&amp;G622)+COUNTIFS($N$2:N622,"&gt;0",$G$2:G622,G622))</f>
        <v/>
      </c>
    </row>
    <row r="623">
      <c r="A623" s="9" t="n"/>
      <c r="B623" s="10" t="n"/>
      <c r="C623" s="10" t="n"/>
      <c r="D623" s="10" t="n"/>
      <c r="E623" s="10" t="n"/>
      <c r="F623" s="12" t="n"/>
      <c r="G623" s="13" t="n"/>
      <c r="H623" s="13" t="n"/>
      <c r="I623" s="13" t="n"/>
      <c r="J623" s="13" t="n"/>
      <c r="K623" s="13" t="n"/>
      <c r="L623" s="10" t="n"/>
      <c r="M623" s="10" t="n"/>
      <c r="N623" s="14">
        <f>IF(A623="","",WEEKNUM(A623,2))</f>
        <v/>
      </c>
      <c r="O623" s="15">
        <f>IF(OR(A623="",F623=""),"",LOOKUP(F623,Lists!$F$2:$F$5,Lists!$G$2:$G$5))</f>
        <v/>
      </c>
      <c r="P623" s="16">
        <f>IF(A623="","",SUM(H623:K623))</f>
        <v/>
      </c>
      <c r="Q623" s="17">
        <f>IF(A623="","",IFERROR(P623/G623,""))</f>
        <v/>
      </c>
      <c r="R623" s="14">
        <f>IF(OR(A623="",G623=""),"",COUNTIFS($N$2:$N$1000,"&gt;0",$G$2:$G$1000,"&gt;"&amp;G623)+COUNTIFS($N$2:N623,"&gt;0",$G$2:G623,G623))</f>
        <v/>
      </c>
    </row>
    <row r="624">
      <c r="A624" s="9" t="n"/>
      <c r="B624" s="10" t="n"/>
      <c r="C624" s="10" t="n"/>
      <c r="D624" s="10" t="n"/>
      <c r="E624" s="10" t="n"/>
      <c r="F624" s="12" t="n"/>
      <c r="G624" s="13" t="n"/>
      <c r="H624" s="13" t="n"/>
      <c r="I624" s="13" t="n"/>
      <c r="J624" s="13" t="n"/>
      <c r="K624" s="13" t="n"/>
      <c r="L624" s="10" t="n"/>
      <c r="M624" s="10" t="n"/>
      <c r="N624" s="14">
        <f>IF(A624="","",WEEKNUM(A624,2))</f>
        <v/>
      </c>
      <c r="O624" s="15">
        <f>IF(OR(A624="",F624=""),"",LOOKUP(F624,Lists!$F$2:$F$5,Lists!$G$2:$G$5))</f>
        <v/>
      </c>
      <c r="P624" s="16">
        <f>IF(A624="","",SUM(H624:K624))</f>
        <v/>
      </c>
      <c r="Q624" s="17">
        <f>IF(A624="","",IFERROR(P624/G624,""))</f>
        <v/>
      </c>
      <c r="R624" s="14">
        <f>IF(OR(A624="",G624=""),"",COUNTIFS($N$2:$N$1000,"&gt;0",$G$2:$G$1000,"&gt;"&amp;G624)+COUNTIFS($N$2:N624,"&gt;0",$G$2:G624,G624))</f>
        <v/>
      </c>
    </row>
    <row r="625">
      <c r="A625" s="9" t="n"/>
      <c r="B625" s="10" t="n"/>
      <c r="C625" s="10" t="n"/>
      <c r="D625" s="10" t="n"/>
      <c r="E625" s="10" t="n"/>
      <c r="F625" s="12" t="n"/>
      <c r="G625" s="13" t="n"/>
      <c r="H625" s="13" t="n"/>
      <c r="I625" s="13" t="n"/>
      <c r="J625" s="13" t="n"/>
      <c r="K625" s="13" t="n"/>
      <c r="L625" s="10" t="n"/>
      <c r="M625" s="10" t="n"/>
      <c r="N625" s="14">
        <f>IF(A625="","",WEEKNUM(A625,2))</f>
        <v/>
      </c>
      <c r="O625" s="15">
        <f>IF(OR(A625="",F625=""),"",LOOKUP(F625,Lists!$F$2:$F$5,Lists!$G$2:$G$5))</f>
        <v/>
      </c>
      <c r="P625" s="16">
        <f>IF(A625="","",SUM(H625:K625))</f>
        <v/>
      </c>
      <c r="Q625" s="17">
        <f>IF(A625="","",IFERROR(P625/G625,""))</f>
        <v/>
      </c>
      <c r="R625" s="14">
        <f>IF(OR(A625="",G625=""),"",COUNTIFS($N$2:$N$1000,"&gt;0",$G$2:$G$1000,"&gt;"&amp;G625)+COUNTIFS($N$2:N625,"&gt;0",$G$2:G625,G625))</f>
        <v/>
      </c>
    </row>
    <row r="626">
      <c r="A626" s="9" t="n"/>
      <c r="B626" s="10" t="n"/>
      <c r="C626" s="10" t="n"/>
      <c r="D626" s="10" t="n"/>
      <c r="E626" s="10" t="n"/>
      <c r="F626" s="12" t="n"/>
      <c r="G626" s="13" t="n"/>
      <c r="H626" s="13" t="n"/>
      <c r="I626" s="13" t="n"/>
      <c r="J626" s="13" t="n"/>
      <c r="K626" s="13" t="n"/>
      <c r="L626" s="10" t="n"/>
      <c r="M626" s="10" t="n"/>
      <c r="N626" s="14">
        <f>IF(A626="","",WEEKNUM(A626,2))</f>
        <v/>
      </c>
      <c r="O626" s="15">
        <f>IF(OR(A626="",F626=""),"",LOOKUP(F626,Lists!$F$2:$F$5,Lists!$G$2:$G$5))</f>
        <v/>
      </c>
      <c r="P626" s="16">
        <f>IF(A626="","",SUM(H626:K626))</f>
        <v/>
      </c>
      <c r="Q626" s="17">
        <f>IF(A626="","",IFERROR(P626/G626,""))</f>
        <v/>
      </c>
      <c r="R626" s="14">
        <f>IF(OR(A626="",G626=""),"",COUNTIFS($N$2:$N$1000,"&gt;0",$G$2:$G$1000,"&gt;"&amp;G626)+COUNTIFS($N$2:N626,"&gt;0",$G$2:G626,G626))</f>
        <v/>
      </c>
    </row>
    <row r="627">
      <c r="A627" s="9" t="n"/>
      <c r="B627" s="10" t="n"/>
      <c r="C627" s="10" t="n"/>
      <c r="D627" s="10" t="n"/>
      <c r="E627" s="10" t="n"/>
      <c r="F627" s="12" t="n"/>
      <c r="G627" s="13" t="n"/>
      <c r="H627" s="13" t="n"/>
      <c r="I627" s="13" t="n"/>
      <c r="J627" s="13" t="n"/>
      <c r="K627" s="13" t="n"/>
      <c r="L627" s="10" t="n"/>
      <c r="M627" s="10" t="n"/>
      <c r="N627" s="14">
        <f>IF(A627="","",WEEKNUM(A627,2))</f>
        <v/>
      </c>
      <c r="O627" s="15">
        <f>IF(OR(A627="",F627=""),"",LOOKUP(F627,Lists!$F$2:$F$5,Lists!$G$2:$G$5))</f>
        <v/>
      </c>
      <c r="P627" s="16">
        <f>IF(A627="","",SUM(H627:K627))</f>
        <v/>
      </c>
      <c r="Q627" s="17">
        <f>IF(A627="","",IFERROR(P627/G627,""))</f>
        <v/>
      </c>
      <c r="R627" s="14">
        <f>IF(OR(A627="",G627=""),"",COUNTIFS($N$2:$N$1000,"&gt;0",$G$2:$G$1000,"&gt;"&amp;G627)+COUNTIFS($N$2:N627,"&gt;0",$G$2:G627,G627))</f>
        <v/>
      </c>
    </row>
    <row r="628">
      <c r="A628" s="9" t="n"/>
      <c r="B628" s="10" t="n"/>
      <c r="C628" s="10" t="n"/>
      <c r="D628" s="10" t="n"/>
      <c r="E628" s="10" t="n"/>
      <c r="F628" s="12" t="n"/>
      <c r="G628" s="13" t="n"/>
      <c r="H628" s="13" t="n"/>
      <c r="I628" s="13" t="n"/>
      <c r="J628" s="13" t="n"/>
      <c r="K628" s="13" t="n"/>
      <c r="L628" s="10" t="n"/>
      <c r="M628" s="10" t="n"/>
      <c r="N628" s="14">
        <f>IF(A628="","",WEEKNUM(A628,2))</f>
        <v/>
      </c>
      <c r="O628" s="15">
        <f>IF(OR(A628="",F628=""),"",LOOKUP(F628,Lists!$F$2:$F$5,Lists!$G$2:$G$5))</f>
        <v/>
      </c>
      <c r="P628" s="16">
        <f>IF(A628="","",SUM(H628:K628))</f>
        <v/>
      </c>
      <c r="Q628" s="17">
        <f>IF(A628="","",IFERROR(P628/G628,""))</f>
        <v/>
      </c>
      <c r="R628" s="14">
        <f>IF(OR(A628="",G628=""),"",COUNTIFS($N$2:$N$1000,"&gt;0",$G$2:$G$1000,"&gt;"&amp;G628)+COUNTIFS($N$2:N628,"&gt;0",$G$2:G628,G628))</f>
        <v/>
      </c>
    </row>
    <row r="629">
      <c r="A629" s="9" t="n"/>
      <c r="B629" s="10" t="n"/>
      <c r="C629" s="10" t="n"/>
      <c r="D629" s="10" t="n"/>
      <c r="E629" s="10" t="n"/>
      <c r="F629" s="12" t="n"/>
      <c r="G629" s="13" t="n"/>
      <c r="H629" s="13" t="n"/>
      <c r="I629" s="13" t="n"/>
      <c r="J629" s="13" t="n"/>
      <c r="K629" s="13" t="n"/>
      <c r="L629" s="10" t="n"/>
      <c r="M629" s="10" t="n"/>
      <c r="N629" s="14">
        <f>IF(A629="","",WEEKNUM(A629,2))</f>
        <v/>
      </c>
      <c r="O629" s="15">
        <f>IF(OR(A629="",F629=""),"",LOOKUP(F629,Lists!$F$2:$F$5,Lists!$G$2:$G$5))</f>
        <v/>
      </c>
      <c r="P629" s="16">
        <f>IF(A629="","",SUM(H629:K629))</f>
        <v/>
      </c>
      <c r="Q629" s="17">
        <f>IF(A629="","",IFERROR(P629/G629,""))</f>
        <v/>
      </c>
      <c r="R629" s="14">
        <f>IF(OR(A629="",G629=""),"",COUNTIFS($N$2:$N$1000,"&gt;0",$G$2:$G$1000,"&gt;"&amp;G629)+COUNTIFS($N$2:N629,"&gt;0",$G$2:G629,G629))</f>
        <v/>
      </c>
    </row>
    <row r="630">
      <c r="A630" s="9" t="n"/>
      <c r="B630" s="10" t="n"/>
      <c r="C630" s="10" t="n"/>
      <c r="D630" s="10" t="n"/>
      <c r="E630" s="10" t="n"/>
      <c r="F630" s="12" t="n"/>
      <c r="G630" s="13" t="n"/>
      <c r="H630" s="13" t="n"/>
      <c r="I630" s="13" t="n"/>
      <c r="J630" s="13" t="n"/>
      <c r="K630" s="13" t="n"/>
      <c r="L630" s="10" t="n"/>
      <c r="M630" s="10" t="n"/>
      <c r="N630" s="14">
        <f>IF(A630="","",WEEKNUM(A630,2))</f>
        <v/>
      </c>
      <c r="O630" s="15">
        <f>IF(OR(A630="",F630=""),"",LOOKUP(F630,Lists!$F$2:$F$5,Lists!$G$2:$G$5))</f>
        <v/>
      </c>
      <c r="P630" s="16">
        <f>IF(A630="","",SUM(H630:K630))</f>
        <v/>
      </c>
      <c r="Q630" s="17">
        <f>IF(A630="","",IFERROR(P630/G630,""))</f>
        <v/>
      </c>
      <c r="R630" s="14">
        <f>IF(OR(A630="",G630=""),"",COUNTIFS($N$2:$N$1000,"&gt;0",$G$2:$G$1000,"&gt;"&amp;G630)+COUNTIFS($N$2:N630,"&gt;0",$G$2:G630,G630))</f>
        <v/>
      </c>
    </row>
    <row r="631">
      <c r="A631" s="9" t="n"/>
      <c r="B631" s="10" t="n"/>
      <c r="C631" s="10" t="n"/>
      <c r="D631" s="10" t="n"/>
      <c r="E631" s="10" t="n"/>
      <c r="F631" s="12" t="n"/>
      <c r="G631" s="13" t="n"/>
      <c r="H631" s="13" t="n"/>
      <c r="I631" s="13" t="n"/>
      <c r="J631" s="13" t="n"/>
      <c r="K631" s="13" t="n"/>
      <c r="L631" s="10" t="n"/>
      <c r="M631" s="10" t="n"/>
      <c r="N631" s="14">
        <f>IF(A631="","",WEEKNUM(A631,2))</f>
        <v/>
      </c>
      <c r="O631" s="15">
        <f>IF(OR(A631="",F631=""),"",LOOKUP(F631,Lists!$F$2:$F$5,Lists!$G$2:$G$5))</f>
        <v/>
      </c>
      <c r="P631" s="16">
        <f>IF(A631="","",SUM(H631:K631))</f>
        <v/>
      </c>
      <c r="Q631" s="17">
        <f>IF(A631="","",IFERROR(P631/G631,""))</f>
        <v/>
      </c>
      <c r="R631" s="14">
        <f>IF(OR(A631="",G631=""),"",COUNTIFS($N$2:$N$1000,"&gt;0",$G$2:$G$1000,"&gt;"&amp;G631)+COUNTIFS($N$2:N631,"&gt;0",$G$2:G631,G631))</f>
        <v/>
      </c>
    </row>
    <row r="632">
      <c r="A632" s="9" t="n"/>
      <c r="B632" s="10" t="n"/>
      <c r="C632" s="10" t="n"/>
      <c r="D632" s="10" t="n"/>
      <c r="E632" s="10" t="n"/>
      <c r="F632" s="12" t="n"/>
      <c r="G632" s="13" t="n"/>
      <c r="H632" s="13" t="n"/>
      <c r="I632" s="13" t="n"/>
      <c r="J632" s="13" t="n"/>
      <c r="K632" s="13" t="n"/>
      <c r="L632" s="10" t="n"/>
      <c r="M632" s="10" t="n"/>
      <c r="N632" s="14">
        <f>IF(A632="","",WEEKNUM(A632,2))</f>
        <v/>
      </c>
      <c r="O632" s="15">
        <f>IF(OR(A632="",F632=""),"",LOOKUP(F632,Lists!$F$2:$F$5,Lists!$G$2:$G$5))</f>
        <v/>
      </c>
      <c r="P632" s="16">
        <f>IF(A632="","",SUM(H632:K632))</f>
        <v/>
      </c>
      <c r="Q632" s="17">
        <f>IF(A632="","",IFERROR(P632/G632,""))</f>
        <v/>
      </c>
      <c r="R632" s="14">
        <f>IF(OR(A632="",G632=""),"",COUNTIFS($N$2:$N$1000,"&gt;0",$G$2:$G$1000,"&gt;"&amp;G632)+COUNTIFS($N$2:N632,"&gt;0",$G$2:G632,G632))</f>
        <v/>
      </c>
    </row>
    <row r="633">
      <c r="A633" s="9" t="n"/>
      <c r="B633" s="10" t="n"/>
      <c r="C633" s="10" t="n"/>
      <c r="D633" s="10" t="n"/>
      <c r="E633" s="10" t="n"/>
      <c r="F633" s="12" t="n"/>
      <c r="G633" s="13" t="n"/>
      <c r="H633" s="13" t="n"/>
      <c r="I633" s="13" t="n"/>
      <c r="J633" s="13" t="n"/>
      <c r="K633" s="13" t="n"/>
      <c r="L633" s="10" t="n"/>
      <c r="M633" s="10" t="n"/>
      <c r="N633" s="14">
        <f>IF(A633="","",WEEKNUM(A633,2))</f>
        <v/>
      </c>
      <c r="O633" s="15">
        <f>IF(OR(A633="",F633=""),"",LOOKUP(F633,Lists!$F$2:$F$5,Lists!$G$2:$G$5))</f>
        <v/>
      </c>
      <c r="P633" s="16">
        <f>IF(A633="","",SUM(H633:K633))</f>
        <v/>
      </c>
      <c r="Q633" s="17">
        <f>IF(A633="","",IFERROR(P633/G633,""))</f>
        <v/>
      </c>
      <c r="R633" s="14">
        <f>IF(OR(A633="",G633=""),"",COUNTIFS($N$2:$N$1000,"&gt;0",$G$2:$G$1000,"&gt;"&amp;G633)+COUNTIFS($N$2:N633,"&gt;0",$G$2:G633,G633))</f>
        <v/>
      </c>
    </row>
    <row r="634">
      <c r="A634" s="9" t="n"/>
      <c r="B634" s="10" t="n"/>
      <c r="C634" s="10" t="n"/>
      <c r="D634" s="10" t="n"/>
      <c r="E634" s="10" t="n"/>
      <c r="F634" s="12" t="n"/>
      <c r="G634" s="13" t="n"/>
      <c r="H634" s="13" t="n"/>
      <c r="I634" s="13" t="n"/>
      <c r="J634" s="13" t="n"/>
      <c r="K634" s="13" t="n"/>
      <c r="L634" s="10" t="n"/>
      <c r="M634" s="10" t="n"/>
      <c r="N634" s="14">
        <f>IF(A634="","",WEEKNUM(A634,2))</f>
        <v/>
      </c>
      <c r="O634" s="15">
        <f>IF(OR(A634="",F634=""),"",LOOKUP(F634,Lists!$F$2:$F$5,Lists!$G$2:$G$5))</f>
        <v/>
      </c>
      <c r="P634" s="16">
        <f>IF(A634="","",SUM(H634:K634))</f>
        <v/>
      </c>
      <c r="Q634" s="17">
        <f>IF(A634="","",IFERROR(P634/G634,""))</f>
        <v/>
      </c>
      <c r="R634" s="14">
        <f>IF(OR(A634="",G634=""),"",COUNTIFS($N$2:$N$1000,"&gt;0",$G$2:$G$1000,"&gt;"&amp;G634)+COUNTIFS($N$2:N634,"&gt;0",$G$2:G634,G634))</f>
        <v/>
      </c>
    </row>
    <row r="635">
      <c r="A635" s="9" t="n"/>
      <c r="B635" s="10" t="n"/>
      <c r="C635" s="10" t="n"/>
      <c r="D635" s="10" t="n"/>
      <c r="E635" s="10" t="n"/>
      <c r="F635" s="12" t="n"/>
      <c r="G635" s="13" t="n"/>
      <c r="H635" s="13" t="n"/>
      <c r="I635" s="13" t="n"/>
      <c r="J635" s="13" t="n"/>
      <c r="K635" s="13" t="n"/>
      <c r="L635" s="10" t="n"/>
      <c r="M635" s="10" t="n"/>
      <c r="N635" s="14">
        <f>IF(A635="","",WEEKNUM(A635,2))</f>
        <v/>
      </c>
      <c r="O635" s="15">
        <f>IF(OR(A635="",F635=""),"",LOOKUP(F635,Lists!$F$2:$F$5,Lists!$G$2:$G$5))</f>
        <v/>
      </c>
      <c r="P635" s="16">
        <f>IF(A635="","",SUM(H635:K635))</f>
        <v/>
      </c>
      <c r="Q635" s="17">
        <f>IF(A635="","",IFERROR(P635/G635,""))</f>
        <v/>
      </c>
      <c r="R635" s="14">
        <f>IF(OR(A635="",G635=""),"",COUNTIFS($N$2:$N$1000,"&gt;0",$G$2:$G$1000,"&gt;"&amp;G635)+COUNTIFS($N$2:N635,"&gt;0",$G$2:G635,G635))</f>
        <v/>
      </c>
    </row>
    <row r="636">
      <c r="A636" s="9" t="n"/>
      <c r="B636" s="10" t="n"/>
      <c r="C636" s="10" t="n"/>
      <c r="D636" s="10" t="n"/>
      <c r="E636" s="10" t="n"/>
      <c r="F636" s="12" t="n"/>
      <c r="G636" s="13" t="n"/>
      <c r="H636" s="13" t="n"/>
      <c r="I636" s="13" t="n"/>
      <c r="J636" s="13" t="n"/>
      <c r="K636" s="13" t="n"/>
      <c r="L636" s="10" t="n"/>
      <c r="M636" s="10" t="n"/>
      <c r="N636" s="14">
        <f>IF(A636="","",WEEKNUM(A636,2))</f>
        <v/>
      </c>
      <c r="O636" s="15">
        <f>IF(OR(A636="",F636=""),"",LOOKUP(F636,Lists!$F$2:$F$5,Lists!$G$2:$G$5))</f>
        <v/>
      </c>
      <c r="P636" s="16">
        <f>IF(A636="","",SUM(H636:K636))</f>
        <v/>
      </c>
      <c r="Q636" s="17">
        <f>IF(A636="","",IFERROR(P636/G636,""))</f>
        <v/>
      </c>
      <c r="R636" s="14">
        <f>IF(OR(A636="",G636=""),"",COUNTIFS($N$2:$N$1000,"&gt;0",$G$2:$G$1000,"&gt;"&amp;G636)+COUNTIFS($N$2:N636,"&gt;0",$G$2:G636,G636))</f>
        <v/>
      </c>
    </row>
    <row r="637">
      <c r="A637" s="9" t="n"/>
      <c r="B637" s="10" t="n"/>
      <c r="C637" s="10" t="n"/>
      <c r="D637" s="10" t="n"/>
      <c r="E637" s="10" t="n"/>
      <c r="F637" s="12" t="n"/>
      <c r="G637" s="13" t="n"/>
      <c r="H637" s="13" t="n"/>
      <c r="I637" s="13" t="n"/>
      <c r="J637" s="13" t="n"/>
      <c r="K637" s="13" t="n"/>
      <c r="L637" s="10" t="n"/>
      <c r="M637" s="10" t="n"/>
      <c r="N637" s="14">
        <f>IF(A637="","",WEEKNUM(A637,2))</f>
        <v/>
      </c>
      <c r="O637" s="15">
        <f>IF(OR(A637="",F637=""),"",LOOKUP(F637,Lists!$F$2:$F$5,Lists!$G$2:$G$5))</f>
        <v/>
      </c>
      <c r="P637" s="16">
        <f>IF(A637="","",SUM(H637:K637))</f>
        <v/>
      </c>
      <c r="Q637" s="17">
        <f>IF(A637="","",IFERROR(P637/G637,""))</f>
        <v/>
      </c>
      <c r="R637" s="14">
        <f>IF(OR(A637="",G637=""),"",COUNTIFS($N$2:$N$1000,"&gt;0",$G$2:$G$1000,"&gt;"&amp;G637)+COUNTIFS($N$2:N637,"&gt;0",$G$2:G637,G637))</f>
        <v/>
      </c>
    </row>
    <row r="638">
      <c r="A638" s="9" t="n"/>
      <c r="B638" s="10" t="n"/>
      <c r="C638" s="10" t="n"/>
      <c r="D638" s="10" t="n"/>
      <c r="E638" s="10" t="n"/>
      <c r="F638" s="12" t="n"/>
      <c r="G638" s="13" t="n"/>
      <c r="H638" s="13" t="n"/>
      <c r="I638" s="13" t="n"/>
      <c r="J638" s="13" t="n"/>
      <c r="K638" s="13" t="n"/>
      <c r="L638" s="10" t="n"/>
      <c r="M638" s="10" t="n"/>
      <c r="N638" s="14">
        <f>IF(A638="","",WEEKNUM(A638,2))</f>
        <v/>
      </c>
      <c r="O638" s="15">
        <f>IF(OR(A638="",F638=""),"",LOOKUP(F638,Lists!$F$2:$F$5,Lists!$G$2:$G$5))</f>
        <v/>
      </c>
      <c r="P638" s="16">
        <f>IF(A638="","",SUM(H638:K638))</f>
        <v/>
      </c>
      <c r="Q638" s="17">
        <f>IF(A638="","",IFERROR(P638/G638,""))</f>
        <v/>
      </c>
      <c r="R638" s="14">
        <f>IF(OR(A638="",G638=""),"",COUNTIFS($N$2:$N$1000,"&gt;0",$G$2:$G$1000,"&gt;"&amp;G638)+COUNTIFS($N$2:N638,"&gt;0",$G$2:G638,G638))</f>
        <v/>
      </c>
    </row>
    <row r="639">
      <c r="A639" s="9" t="n"/>
      <c r="B639" s="10" t="n"/>
      <c r="C639" s="10" t="n"/>
      <c r="D639" s="10" t="n"/>
      <c r="E639" s="10" t="n"/>
      <c r="F639" s="12" t="n"/>
      <c r="G639" s="13" t="n"/>
      <c r="H639" s="13" t="n"/>
      <c r="I639" s="13" t="n"/>
      <c r="J639" s="13" t="n"/>
      <c r="K639" s="13" t="n"/>
      <c r="L639" s="10" t="n"/>
      <c r="M639" s="10" t="n"/>
      <c r="N639" s="14">
        <f>IF(A639="","",WEEKNUM(A639,2))</f>
        <v/>
      </c>
      <c r="O639" s="15">
        <f>IF(OR(A639="",F639=""),"",LOOKUP(F639,Lists!$F$2:$F$5,Lists!$G$2:$G$5))</f>
        <v/>
      </c>
      <c r="P639" s="16">
        <f>IF(A639="","",SUM(H639:K639))</f>
        <v/>
      </c>
      <c r="Q639" s="17">
        <f>IF(A639="","",IFERROR(P639/G639,""))</f>
        <v/>
      </c>
      <c r="R639" s="14">
        <f>IF(OR(A639="",G639=""),"",COUNTIFS($N$2:$N$1000,"&gt;0",$G$2:$G$1000,"&gt;"&amp;G639)+COUNTIFS($N$2:N639,"&gt;0",$G$2:G639,G639))</f>
        <v/>
      </c>
    </row>
    <row r="640">
      <c r="A640" s="9" t="n"/>
      <c r="B640" s="10" t="n"/>
      <c r="C640" s="10" t="n"/>
      <c r="D640" s="10" t="n"/>
      <c r="E640" s="10" t="n"/>
      <c r="F640" s="12" t="n"/>
      <c r="G640" s="13" t="n"/>
      <c r="H640" s="13" t="n"/>
      <c r="I640" s="13" t="n"/>
      <c r="J640" s="13" t="n"/>
      <c r="K640" s="13" t="n"/>
      <c r="L640" s="10" t="n"/>
      <c r="M640" s="10" t="n"/>
      <c r="N640" s="14">
        <f>IF(A640="","",WEEKNUM(A640,2))</f>
        <v/>
      </c>
      <c r="O640" s="15">
        <f>IF(OR(A640="",F640=""),"",LOOKUP(F640,Lists!$F$2:$F$5,Lists!$G$2:$G$5))</f>
        <v/>
      </c>
      <c r="P640" s="16">
        <f>IF(A640="","",SUM(H640:K640))</f>
        <v/>
      </c>
      <c r="Q640" s="17">
        <f>IF(A640="","",IFERROR(P640/G640,""))</f>
        <v/>
      </c>
      <c r="R640" s="14">
        <f>IF(OR(A640="",G640=""),"",COUNTIFS($N$2:$N$1000,"&gt;0",$G$2:$G$1000,"&gt;"&amp;G640)+COUNTIFS($N$2:N640,"&gt;0",$G$2:G640,G640))</f>
        <v/>
      </c>
    </row>
    <row r="641">
      <c r="A641" s="9" t="n"/>
      <c r="B641" s="10" t="n"/>
      <c r="C641" s="10" t="n"/>
      <c r="D641" s="10" t="n"/>
      <c r="E641" s="10" t="n"/>
      <c r="F641" s="12" t="n"/>
      <c r="G641" s="13" t="n"/>
      <c r="H641" s="13" t="n"/>
      <c r="I641" s="13" t="n"/>
      <c r="J641" s="13" t="n"/>
      <c r="K641" s="13" t="n"/>
      <c r="L641" s="10" t="n"/>
      <c r="M641" s="10" t="n"/>
      <c r="N641" s="14">
        <f>IF(A641="","",WEEKNUM(A641,2))</f>
        <v/>
      </c>
      <c r="O641" s="15">
        <f>IF(OR(A641="",F641=""),"",LOOKUP(F641,Lists!$F$2:$F$5,Lists!$G$2:$G$5))</f>
        <v/>
      </c>
      <c r="P641" s="16">
        <f>IF(A641="","",SUM(H641:K641))</f>
        <v/>
      </c>
      <c r="Q641" s="17">
        <f>IF(A641="","",IFERROR(P641/G641,""))</f>
        <v/>
      </c>
      <c r="R641" s="14">
        <f>IF(OR(A641="",G641=""),"",COUNTIFS($N$2:$N$1000,"&gt;0",$G$2:$G$1000,"&gt;"&amp;G641)+COUNTIFS($N$2:N641,"&gt;0",$G$2:G641,G641))</f>
        <v/>
      </c>
    </row>
    <row r="642">
      <c r="A642" s="9" t="n"/>
      <c r="B642" s="10" t="n"/>
      <c r="C642" s="10" t="n"/>
      <c r="D642" s="10" t="n"/>
      <c r="E642" s="10" t="n"/>
      <c r="F642" s="12" t="n"/>
      <c r="G642" s="13" t="n"/>
      <c r="H642" s="13" t="n"/>
      <c r="I642" s="13" t="n"/>
      <c r="J642" s="13" t="n"/>
      <c r="K642" s="13" t="n"/>
      <c r="L642" s="10" t="n"/>
      <c r="M642" s="10" t="n"/>
      <c r="N642" s="14">
        <f>IF(A642="","",WEEKNUM(A642,2))</f>
        <v/>
      </c>
      <c r="O642" s="15">
        <f>IF(OR(A642="",F642=""),"",LOOKUP(F642,Lists!$F$2:$F$5,Lists!$G$2:$G$5))</f>
        <v/>
      </c>
      <c r="P642" s="16">
        <f>IF(A642="","",SUM(H642:K642))</f>
        <v/>
      </c>
      <c r="Q642" s="17">
        <f>IF(A642="","",IFERROR(P642/G642,""))</f>
        <v/>
      </c>
      <c r="R642" s="14">
        <f>IF(OR(A642="",G642=""),"",COUNTIFS($N$2:$N$1000,"&gt;0",$G$2:$G$1000,"&gt;"&amp;G642)+COUNTIFS($N$2:N642,"&gt;0",$G$2:G642,G642))</f>
        <v/>
      </c>
    </row>
    <row r="643">
      <c r="A643" s="9" t="n"/>
      <c r="B643" s="10" t="n"/>
      <c r="C643" s="10" t="n"/>
      <c r="D643" s="10" t="n"/>
      <c r="E643" s="10" t="n"/>
      <c r="F643" s="12" t="n"/>
      <c r="G643" s="13" t="n"/>
      <c r="H643" s="13" t="n"/>
      <c r="I643" s="13" t="n"/>
      <c r="J643" s="13" t="n"/>
      <c r="K643" s="13" t="n"/>
      <c r="L643" s="10" t="n"/>
      <c r="M643" s="10" t="n"/>
      <c r="N643" s="14">
        <f>IF(A643="","",WEEKNUM(A643,2))</f>
        <v/>
      </c>
      <c r="O643" s="15">
        <f>IF(OR(A643="",F643=""),"",LOOKUP(F643,Lists!$F$2:$F$5,Lists!$G$2:$G$5))</f>
        <v/>
      </c>
      <c r="P643" s="16">
        <f>IF(A643="","",SUM(H643:K643))</f>
        <v/>
      </c>
      <c r="Q643" s="17">
        <f>IF(A643="","",IFERROR(P643/G643,""))</f>
        <v/>
      </c>
      <c r="R643" s="14">
        <f>IF(OR(A643="",G643=""),"",COUNTIFS($N$2:$N$1000,"&gt;0",$G$2:$G$1000,"&gt;"&amp;G643)+COUNTIFS($N$2:N643,"&gt;0",$G$2:G643,G643))</f>
        <v/>
      </c>
    </row>
    <row r="644">
      <c r="A644" s="9" t="n"/>
      <c r="B644" s="10" t="n"/>
      <c r="C644" s="10" t="n"/>
      <c r="D644" s="10" t="n"/>
      <c r="E644" s="10" t="n"/>
      <c r="F644" s="12" t="n"/>
      <c r="G644" s="13" t="n"/>
      <c r="H644" s="13" t="n"/>
      <c r="I644" s="13" t="n"/>
      <c r="J644" s="13" t="n"/>
      <c r="K644" s="13" t="n"/>
      <c r="L644" s="10" t="n"/>
      <c r="M644" s="10" t="n"/>
      <c r="N644" s="14">
        <f>IF(A644="","",WEEKNUM(A644,2))</f>
        <v/>
      </c>
      <c r="O644" s="15">
        <f>IF(OR(A644="",F644=""),"",LOOKUP(F644,Lists!$F$2:$F$5,Lists!$G$2:$G$5))</f>
        <v/>
      </c>
      <c r="P644" s="16">
        <f>IF(A644="","",SUM(H644:K644))</f>
        <v/>
      </c>
      <c r="Q644" s="17">
        <f>IF(A644="","",IFERROR(P644/G644,""))</f>
        <v/>
      </c>
      <c r="R644" s="14">
        <f>IF(OR(A644="",G644=""),"",COUNTIFS($N$2:$N$1000,"&gt;0",$G$2:$G$1000,"&gt;"&amp;G644)+COUNTIFS($N$2:N644,"&gt;0",$G$2:G644,G644))</f>
        <v/>
      </c>
    </row>
    <row r="645">
      <c r="A645" s="9" t="n"/>
      <c r="B645" s="10" t="n"/>
      <c r="C645" s="10" t="n"/>
      <c r="D645" s="10" t="n"/>
      <c r="E645" s="10" t="n"/>
      <c r="F645" s="12" t="n"/>
      <c r="G645" s="13" t="n"/>
      <c r="H645" s="13" t="n"/>
      <c r="I645" s="13" t="n"/>
      <c r="J645" s="13" t="n"/>
      <c r="K645" s="13" t="n"/>
      <c r="L645" s="10" t="n"/>
      <c r="M645" s="10" t="n"/>
      <c r="N645" s="14">
        <f>IF(A645="","",WEEKNUM(A645,2))</f>
        <v/>
      </c>
      <c r="O645" s="15">
        <f>IF(OR(A645="",F645=""),"",LOOKUP(F645,Lists!$F$2:$F$5,Lists!$G$2:$G$5))</f>
        <v/>
      </c>
      <c r="P645" s="16">
        <f>IF(A645="","",SUM(H645:K645))</f>
        <v/>
      </c>
      <c r="Q645" s="17">
        <f>IF(A645="","",IFERROR(P645/G645,""))</f>
        <v/>
      </c>
      <c r="R645" s="14">
        <f>IF(OR(A645="",G645=""),"",COUNTIFS($N$2:$N$1000,"&gt;0",$G$2:$G$1000,"&gt;"&amp;G645)+COUNTIFS($N$2:N645,"&gt;0",$G$2:G645,G645))</f>
        <v/>
      </c>
    </row>
    <row r="646">
      <c r="A646" s="9" t="n"/>
      <c r="B646" s="10" t="n"/>
      <c r="C646" s="10" t="n"/>
      <c r="D646" s="10" t="n"/>
      <c r="E646" s="10" t="n"/>
      <c r="F646" s="12" t="n"/>
      <c r="G646" s="13" t="n"/>
      <c r="H646" s="13" t="n"/>
      <c r="I646" s="13" t="n"/>
      <c r="J646" s="13" t="n"/>
      <c r="K646" s="13" t="n"/>
      <c r="L646" s="10" t="n"/>
      <c r="M646" s="10" t="n"/>
      <c r="N646" s="14">
        <f>IF(A646="","",WEEKNUM(A646,2))</f>
        <v/>
      </c>
      <c r="O646" s="15">
        <f>IF(OR(A646="",F646=""),"",LOOKUP(F646,Lists!$F$2:$F$5,Lists!$G$2:$G$5))</f>
        <v/>
      </c>
      <c r="P646" s="16">
        <f>IF(A646="","",SUM(H646:K646))</f>
        <v/>
      </c>
      <c r="Q646" s="17">
        <f>IF(A646="","",IFERROR(P646/G646,""))</f>
        <v/>
      </c>
      <c r="R646" s="14">
        <f>IF(OR(A646="",G646=""),"",COUNTIFS($N$2:$N$1000,"&gt;0",$G$2:$G$1000,"&gt;"&amp;G646)+COUNTIFS($N$2:N646,"&gt;0",$G$2:G646,G646))</f>
        <v/>
      </c>
    </row>
    <row r="647">
      <c r="A647" s="9" t="n"/>
      <c r="B647" s="10" t="n"/>
      <c r="C647" s="10" t="n"/>
      <c r="D647" s="10" t="n"/>
      <c r="E647" s="10" t="n"/>
      <c r="F647" s="12" t="n"/>
      <c r="G647" s="13" t="n"/>
      <c r="H647" s="13" t="n"/>
      <c r="I647" s="13" t="n"/>
      <c r="J647" s="13" t="n"/>
      <c r="K647" s="13" t="n"/>
      <c r="L647" s="10" t="n"/>
      <c r="M647" s="10" t="n"/>
      <c r="N647" s="14">
        <f>IF(A647="","",WEEKNUM(A647,2))</f>
        <v/>
      </c>
      <c r="O647" s="15">
        <f>IF(OR(A647="",F647=""),"",LOOKUP(F647,Lists!$F$2:$F$5,Lists!$G$2:$G$5))</f>
        <v/>
      </c>
      <c r="P647" s="16">
        <f>IF(A647="","",SUM(H647:K647))</f>
        <v/>
      </c>
      <c r="Q647" s="17">
        <f>IF(A647="","",IFERROR(P647/G647,""))</f>
        <v/>
      </c>
      <c r="R647" s="14">
        <f>IF(OR(A647="",G647=""),"",COUNTIFS($N$2:$N$1000,"&gt;0",$G$2:$G$1000,"&gt;"&amp;G647)+COUNTIFS($N$2:N647,"&gt;0",$G$2:G647,G647))</f>
        <v/>
      </c>
    </row>
    <row r="648">
      <c r="A648" s="9" t="n"/>
      <c r="B648" s="10" t="n"/>
      <c r="C648" s="10" t="n"/>
      <c r="D648" s="10" t="n"/>
      <c r="E648" s="10" t="n"/>
      <c r="F648" s="12" t="n"/>
      <c r="G648" s="13" t="n"/>
      <c r="H648" s="13" t="n"/>
      <c r="I648" s="13" t="n"/>
      <c r="J648" s="13" t="n"/>
      <c r="K648" s="13" t="n"/>
      <c r="L648" s="10" t="n"/>
      <c r="M648" s="10" t="n"/>
      <c r="N648" s="14">
        <f>IF(A648="","",WEEKNUM(A648,2))</f>
        <v/>
      </c>
      <c r="O648" s="15">
        <f>IF(OR(A648="",F648=""),"",LOOKUP(F648,Lists!$F$2:$F$5,Lists!$G$2:$G$5))</f>
        <v/>
      </c>
      <c r="P648" s="16">
        <f>IF(A648="","",SUM(H648:K648))</f>
        <v/>
      </c>
      <c r="Q648" s="17">
        <f>IF(A648="","",IFERROR(P648/G648,""))</f>
        <v/>
      </c>
      <c r="R648" s="14">
        <f>IF(OR(A648="",G648=""),"",COUNTIFS($N$2:$N$1000,"&gt;0",$G$2:$G$1000,"&gt;"&amp;G648)+COUNTIFS($N$2:N648,"&gt;0",$G$2:G648,G648))</f>
        <v/>
      </c>
    </row>
    <row r="649">
      <c r="A649" s="9" t="n"/>
      <c r="B649" s="10" t="n"/>
      <c r="C649" s="10" t="n"/>
      <c r="D649" s="10" t="n"/>
      <c r="E649" s="10" t="n"/>
      <c r="F649" s="12" t="n"/>
      <c r="G649" s="13" t="n"/>
      <c r="H649" s="13" t="n"/>
      <c r="I649" s="13" t="n"/>
      <c r="J649" s="13" t="n"/>
      <c r="K649" s="13" t="n"/>
      <c r="L649" s="10" t="n"/>
      <c r="M649" s="10" t="n"/>
      <c r="N649" s="14">
        <f>IF(A649="","",WEEKNUM(A649,2))</f>
        <v/>
      </c>
      <c r="O649" s="15">
        <f>IF(OR(A649="",F649=""),"",LOOKUP(F649,Lists!$F$2:$F$5,Lists!$G$2:$G$5))</f>
        <v/>
      </c>
      <c r="P649" s="16">
        <f>IF(A649="","",SUM(H649:K649))</f>
        <v/>
      </c>
      <c r="Q649" s="17">
        <f>IF(A649="","",IFERROR(P649/G649,""))</f>
        <v/>
      </c>
      <c r="R649" s="14">
        <f>IF(OR(A649="",G649=""),"",COUNTIFS($N$2:$N$1000,"&gt;0",$G$2:$G$1000,"&gt;"&amp;G649)+COUNTIFS($N$2:N649,"&gt;0",$G$2:G649,G649))</f>
        <v/>
      </c>
    </row>
    <row r="650">
      <c r="A650" s="9" t="n"/>
      <c r="B650" s="10" t="n"/>
      <c r="C650" s="10" t="n"/>
      <c r="D650" s="10" t="n"/>
      <c r="E650" s="10" t="n"/>
      <c r="F650" s="12" t="n"/>
      <c r="G650" s="13" t="n"/>
      <c r="H650" s="13" t="n"/>
      <c r="I650" s="13" t="n"/>
      <c r="J650" s="13" t="n"/>
      <c r="K650" s="13" t="n"/>
      <c r="L650" s="10" t="n"/>
      <c r="M650" s="10" t="n"/>
      <c r="N650" s="14">
        <f>IF(A650="","",WEEKNUM(A650,2))</f>
        <v/>
      </c>
      <c r="O650" s="15">
        <f>IF(OR(A650="",F650=""),"",LOOKUP(F650,Lists!$F$2:$F$5,Lists!$G$2:$G$5))</f>
        <v/>
      </c>
      <c r="P650" s="16">
        <f>IF(A650="","",SUM(H650:K650))</f>
        <v/>
      </c>
      <c r="Q650" s="17">
        <f>IF(A650="","",IFERROR(P650/G650,""))</f>
        <v/>
      </c>
      <c r="R650" s="14">
        <f>IF(OR(A650="",G650=""),"",COUNTIFS($N$2:$N$1000,"&gt;0",$G$2:$G$1000,"&gt;"&amp;G650)+COUNTIFS($N$2:N650,"&gt;0",$G$2:G650,G650))</f>
        <v/>
      </c>
    </row>
    <row r="651">
      <c r="A651" s="9" t="n"/>
      <c r="B651" s="10" t="n"/>
      <c r="C651" s="10" t="n"/>
      <c r="D651" s="10" t="n"/>
      <c r="E651" s="10" t="n"/>
      <c r="F651" s="12" t="n"/>
      <c r="G651" s="13" t="n"/>
      <c r="H651" s="13" t="n"/>
      <c r="I651" s="13" t="n"/>
      <c r="J651" s="13" t="n"/>
      <c r="K651" s="13" t="n"/>
      <c r="L651" s="10" t="n"/>
      <c r="M651" s="10" t="n"/>
      <c r="N651" s="14">
        <f>IF(A651="","",WEEKNUM(A651,2))</f>
        <v/>
      </c>
      <c r="O651" s="15">
        <f>IF(OR(A651="",F651=""),"",LOOKUP(F651,Lists!$F$2:$F$5,Lists!$G$2:$G$5))</f>
        <v/>
      </c>
      <c r="P651" s="16">
        <f>IF(A651="","",SUM(H651:K651))</f>
        <v/>
      </c>
      <c r="Q651" s="17">
        <f>IF(A651="","",IFERROR(P651/G651,""))</f>
        <v/>
      </c>
      <c r="R651" s="14">
        <f>IF(OR(A651="",G651=""),"",COUNTIFS($N$2:$N$1000,"&gt;0",$G$2:$G$1000,"&gt;"&amp;G651)+COUNTIFS($N$2:N651,"&gt;0",$G$2:G651,G651))</f>
        <v/>
      </c>
    </row>
    <row r="652">
      <c r="A652" s="9" t="n"/>
      <c r="B652" s="10" t="n"/>
      <c r="C652" s="10" t="n"/>
      <c r="D652" s="10" t="n"/>
      <c r="E652" s="10" t="n"/>
      <c r="F652" s="12" t="n"/>
      <c r="G652" s="13" t="n"/>
      <c r="H652" s="13" t="n"/>
      <c r="I652" s="13" t="n"/>
      <c r="J652" s="13" t="n"/>
      <c r="K652" s="13" t="n"/>
      <c r="L652" s="10" t="n"/>
      <c r="M652" s="10" t="n"/>
      <c r="N652" s="14">
        <f>IF(A652="","",WEEKNUM(A652,2))</f>
        <v/>
      </c>
      <c r="O652" s="15">
        <f>IF(OR(A652="",F652=""),"",LOOKUP(F652,Lists!$F$2:$F$5,Lists!$G$2:$G$5))</f>
        <v/>
      </c>
      <c r="P652" s="16">
        <f>IF(A652="","",SUM(H652:K652))</f>
        <v/>
      </c>
      <c r="Q652" s="17">
        <f>IF(A652="","",IFERROR(P652/G652,""))</f>
        <v/>
      </c>
      <c r="R652" s="14">
        <f>IF(OR(A652="",G652=""),"",COUNTIFS($N$2:$N$1000,"&gt;0",$G$2:$G$1000,"&gt;"&amp;G652)+COUNTIFS($N$2:N652,"&gt;0",$G$2:G652,G652))</f>
        <v/>
      </c>
    </row>
    <row r="653">
      <c r="A653" s="9" t="n"/>
      <c r="B653" s="10" t="n"/>
      <c r="C653" s="10" t="n"/>
      <c r="D653" s="10" t="n"/>
      <c r="E653" s="10" t="n"/>
      <c r="F653" s="12" t="n"/>
      <c r="G653" s="13" t="n"/>
      <c r="H653" s="13" t="n"/>
      <c r="I653" s="13" t="n"/>
      <c r="J653" s="13" t="n"/>
      <c r="K653" s="13" t="n"/>
      <c r="L653" s="10" t="n"/>
      <c r="M653" s="10" t="n"/>
      <c r="N653" s="14">
        <f>IF(A653="","",WEEKNUM(A653,2))</f>
        <v/>
      </c>
      <c r="O653" s="15">
        <f>IF(OR(A653="",F653=""),"",LOOKUP(F653,Lists!$F$2:$F$5,Lists!$G$2:$G$5))</f>
        <v/>
      </c>
      <c r="P653" s="16">
        <f>IF(A653="","",SUM(H653:K653))</f>
        <v/>
      </c>
      <c r="Q653" s="17">
        <f>IF(A653="","",IFERROR(P653/G653,""))</f>
        <v/>
      </c>
      <c r="R653" s="14">
        <f>IF(OR(A653="",G653=""),"",COUNTIFS($N$2:$N$1000,"&gt;0",$G$2:$G$1000,"&gt;"&amp;G653)+COUNTIFS($N$2:N653,"&gt;0",$G$2:G653,G653))</f>
        <v/>
      </c>
    </row>
    <row r="654">
      <c r="A654" s="9" t="n"/>
      <c r="B654" s="10" t="n"/>
      <c r="C654" s="10" t="n"/>
      <c r="D654" s="10" t="n"/>
      <c r="E654" s="10" t="n"/>
      <c r="F654" s="12" t="n"/>
      <c r="G654" s="13" t="n"/>
      <c r="H654" s="13" t="n"/>
      <c r="I654" s="13" t="n"/>
      <c r="J654" s="13" t="n"/>
      <c r="K654" s="13" t="n"/>
      <c r="L654" s="10" t="n"/>
      <c r="M654" s="10" t="n"/>
      <c r="N654" s="14">
        <f>IF(A654="","",WEEKNUM(A654,2))</f>
        <v/>
      </c>
      <c r="O654" s="15">
        <f>IF(OR(A654="",F654=""),"",LOOKUP(F654,Lists!$F$2:$F$5,Lists!$G$2:$G$5))</f>
        <v/>
      </c>
      <c r="P654" s="16">
        <f>IF(A654="","",SUM(H654:K654))</f>
        <v/>
      </c>
      <c r="Q654" s="17">
        <f>IF(A654="","",IFERROR(P654/G654,""))</f>
        <v/>
      </c>
      <c r="R654" s="14">
        <f>IF(OR(A654="",G654=""),"",COUNTIFS($N$2:$N$1000,"&gt;0",$G$2:$G$1000,"&gt;"&amp;G654)+COUNTIFS($N$2:N654,"&gt;0",$G$2:G654,G654))</f>
        <v/>
      </c>
    </row>
    <row r="655">
      <c r="A655" s="9" t="n"/>
      <c r="B655" s="10" t="n"/>
      <c r="C655" s="10" t="n"/>
      <c r="D655" s="10" t="n"/>
      <c r="E655" s="10" t="n"/>
      <c r="F655" s="12" t="n"/>
      <c r="G655" s="13" t="n"/>
      <c r="H655" s="13" t="n"/>
      <c r="I655" s="13" t="n"/>
      <c r="J655" s="13" t="n"/>
      <c r="K655" s="13" t="n"/>
      <c r="L655" s="10" t="n"/>
      <c r="M655" s="10" t="n"/>
      <c r="N655" s="14">
        <f>IF(A655="","",WEEKNUM(A655,2))</f>
        <v/>
      </c>
      <c r="O655" s="15">
        <f>IF(OR(A655="",F655=""),"",LOOKUP(F655,Lists!$F$2:$F$5,Lists!$G$2:$G$5))</f>
        <v/>
      </c>
      <c r="P655" s="16">
        <f>IF(A655="","",SUM(H655:K655))</f>
        <v/>
      </c>
      <c r="Q655" s="17">
        <f>IF(A655="","",IFERROR(P655/G655,""))</f>
        <v/>
      </c>
      <c r="R655" s="14">
        <f>IF(OR(A655="",G655=""),"",COUNTIFS($N$2:$N$1000,"&gt;0",$G$2:$G$1000,"&gt;"&amp;G655)+COUNTIFS($N$2:N655,"&gt;0",$G$2:G655,G655))</f>
        <v/>
      </c>
    </row>
    <row r="656">
      <c r="A656" s="9" t="n"/>
      <c r="B656" s="10" t="n"/>
      <c r="C656" s="10" t="n"/>
      <c r="D656" s="10" t="n"/>
      <c r="E656" s="10" t="n"/>
      <c r="F656" s="12" t="n"/>
      <c r="G656" s="13" t="n"/>
      <c r="H656" s="13" t="n"/>
      <c r="I656" s="13" t="n"/>
      <c r="J656" s="13" t="n"/>
      <c r="K656" s="13" t="n"/>
      <c r="L656" s="10" t="n"/>
      <c r="M656" s="10" t="n"/>
      <c r="N656" s="14">
        <f>IF(A656="","",WEEKNUM(A656,2))</f>
        <v/>
      </c>
      <c r="O656" s="15">
        <f>IF(OR(A656="",F656=""),"",LOOKUP(F656,Lists!$F$2:$F$5,Lists!$G$2:$G$5))</f>
        <v/>
      </c>
      <c r="P656" s="16">
        <f>IF(A656="","",SUM(H656:K656))</f>
        <v/>
      </c>
      <c r="Q656" s="17">
        <f>IF(A656="","",IFERROR(P656/G656,""))</f>
        <v/>
      </c>
      <c r="R656" s="14">
        <f>IF(OR(A656="",G656=""),"",COUNTIFS($N$2:$N$1000,"&gt;0",$G$2:$G$1000,"&gt;"&amp;G656)+COUNTIFS($N$2:N656,"&gt;0",$G$2:G656,G656))</f>
        <v/>
      </c>
    </row>
    <row r="657">
      <c r="A657" s="9" t="n"/>
      <c r="B657" s="10" t="n"/>
      <c r="C657" s="10" t="n"/>
      <c r="D657" s="10" t="n"/>
      <c r="E657" s="10" t="n"/>
      <c r="F657" s="12" t="n"/>
      <c r="G657" s="13" t="n"/>
      <c r="H657" s="13" t="n"/>
      <c r="I657" s="13" t="n"/>
      <c r="J657" s="13" t="n"/>
      <c r="K657" s="13" t="n"/>
      <c r="L657" s="10" t="n"/>
      <c r="M657" s="10" t="n"/>
      <c r="N657" s="14">
        <f>IF(A657="","",WEEKNUM(A657,2))</f>
        <v/>
      </c>
      <c r="O657" s="15">
        <f>IF(OR(A657="",F657=""),"",LOOKUP(F657,Lists!$F$2:$F$5,Lists!$G$2:$G$5))</f>
        <v/>
      </c>
      <c r="P657" s="16">
        <f>IF(A657="","",SUM(H657:K657))</f>
        <v/>
      </c>
      <c r="Q657" s="17">
        <f>IF(A657="","",IFERROR(P657/G657,""))</f>
        <v/>
      </c>
      <c r="R657" s="14">
        <f>IF(OR(A657="",G657=""),"",COUNTIFS($N$2:$N$1000,"&gt;0",$G$2:$G$1000,"&gt;"&amp;G657)+COUNTIFS($N$2:N657,"&gt;0",$G$2:G657,G657))</f>
        <v/>
      </c>
    </row>
    <row r="658">
      <c r="A658" s="9" t="n"/>
      <c r="B658" s="10" t="n"/>
      <c r="C658" s="10" t="n"/>
      <c r="D658" s="10" t="n"/>
      <c r="E658" s="10" t="n"/>
      <c r="F658" s="12" t="n"/>
      <c r="G658" s="13" t="n"/>
      <c r="H658" s="13" t="n"/>
      <c r="I658" s="13" t="n"/>
      <c r="J658" s="13" t="n"/>
      <c r="K658" s="13" t="n"/>
      <c r="L658" s="10" t="n"/>
      <c r="M658" s="10" t="n"/>
      <c r="N658" s="14">
        <f>IF(A658="","",WEEKNUM(A658,2))</f>
        <v/>
      </c>
      <c r="O658" s="15">
        <f>IF(OR(A658="",F658=""),"",LOOKUP(F658,Lists!$F$2:$F$5,Lists!$G$2:$G$5))</f>
        <v/>
      </c>
      <c r="P658" s="16">
        <f>IF(A658="","",SUM(H658:K658))</f>
        <v/>
      </c>
      <c r="Q658" s="17">
        <f>IF(A658="","",IFERROR(P658/G658,""))</f>
        <v/>
      </c>
      <c r="R658" s="14">
        <f>IF(OR(A658="",G658=""),"",COUNTIFS($N$2:$N$1000,"&gt;0",$G$2:$G$1000,"&gt;"&amp;G658)+COUNTIFS($N$2:N658,"&gt;0",$G$2:G658,G658))</f>
        <v/>
      </c>
    </row>
    <row r="659">
      <c r="A659" s="9" t="n"/>
      <c r="B659" s="10" t="n"/>
      <c r="C659" s="10" t="n"/>
      <c r="D659" s="10" t="n"/>
      <c r="E659" s="10" t="n"/>
      <c r="F659" s="12" t="n"/>
      <c r="G659" s="13" t="n"/>
      <c r="H659" s="13" t="n"/>
      <c r="I659" s="13" t="n"/>
      <c r="J659" s="13" t="n"/>
      <c r="K659" s="13" t="n"/>
      <c r="L659" s="10" t="n"/>
      <c r="M659" s="10" t="n"/>
      <c r="N659" s="14">
        <f>IF(A659="","",WEEKNUM(A659,2))</f>
        <v/>
      </c>
      <c r="O659" s="15">
        <f>IF(OR(A659="",F659=""),"",LOOKUP(F659,Lists!$F$2:$F$5,Lists!$G$2:$G$5))</f>
        <v/>
      </c>
      <c r="P659" s="16">
        <f>IF(A659="","",SUM(H659:K659))</f>
        <v/>
      </c>
      <c r="Q659" s="17">
        <f>IF(A659="","",IFERROR(P659/G659,""))</f>
        <v/>
      </c>
      <c r="R659" s="14">
        <f>IF(OR(A659="",G659=""),"",COUNTIFS($N$2:$N$1000,"&gt;0",$G$2:$G$1000,"&gt;"&amp;G659)+COUNTIFS($N$2:N659,"&gt;0",$G$2:G659,G659))</f>
        <v/>
      </c>
    </row>
    <row r="660">
      <c r="A660" s="9" t="n"/>
      <c r="B660" s="10" t="n"/>
      <c r="C660" s="10" t="n"/>
      <c r="D660" s="10" t="n"/>
      <c r="E660" s="10" t="n"/>
      <c r="F660" s="12" t="n"/>
      <c r="G660" s="13" t="n"/>
      <c r="H660" s="13" t="n"/>
      <c r="I660" s="13" t="n"/>
      <c r="J660" s="13" t="n"/>
      <c r="K660" s="13" t="n"/>
      <c r="L660" s="10" t="n"/>
      <c r="M660" s="10" t="n"/>
      <c r="N660" s="14">
        <f>IF(A660="","",WEEKNUM(A660,2))</f>
        <v/>
      </c>
      <c r="O660" s="15">
        <f>IF(OR(A660="",F660=""),"",LOOKUP(F660,Lists!$F$2:$F$5,Lists!$G$2:$G$5))</f>
        <v/>
      </c>
      <c r="P660" s="16">
        <f>IF(A660="","",SUM(H660:K660))</f>
        <v/>
      </c>
      <c r="Q660" s="17">
        <f>IF(A660="","",IFERROR(P660/G660,""))</f>
        <v/>
      </c>
      <c r="R660" s="14">
        <f>IF(OR(A660="",G660=""),"",COUNTIFS($N$2:$N$1000,"&gt;0",$G$2:$G$1000,"&gt;"&amp;G660)+COUNTIFS($N$2:N660,"&gt;0",$G$2:G660,G660))</f>
        <v/>
      </c>
    </row>
    <row r="661">
      <c r="A661" s="9" t="n"/>
      <c r="B661" s="10" t="n"/>
      <c r="C661" s="10" t="n"/>
      <c r="D661" s="10" t="n"/>
      <c r="E661" s="10" t="n"/>
      <c r="F661" s="12" t="n"/>
      <c r="G661" s="13" t="n"/>
      <c r="H661" s="13" t="n"/>
      <c r="I661" s="13" t="n"/>
      <c r="J661" s="13" t="n"/>
      <c r="K661" s="13" t="n"/>
      <c r="L661" s="10" t="n"/>
      <c r="M661" s="10" t="n"/>
      <c r="N661" s="14">
        <f>IF(A661="","",WEEKNUM(A661,2))</f>
        <v/>
      </c>
      <c r="O661" s="15">
        <f>IF(OR(A661="",F661=""),"",LOOKUP(F661,Lists!$F$2:$F$5,Lists!$G$2:$G$5))</f>
        <v/>
      </c>
      <c r="P661" s="16">
        <f>IF(A661="","",SUM(H661:K661))</f>
        <v/>
      </c>
      <c r="Q661" s="17">
        <f>IF(A661="","",IFERROR(P661/G661,""))</f>
        <v/>
      </c>
      <c r="R661" s="14">
        <f>IF(OR(A661="",G661=""),"",COUNTIFS($N$2:$N$1000,"&gt;0",$G$2:$G$1000,"&gt;"&amp;G661)+COUNTIFS($N$2:N661,"&gt;0",$G$2:G661,G661))</f>
        <v/>
      </c>
    </row>
    <row r="662">
      <c r="A662" s="9" t="n"/>
      <c r="B662" s="10" t="n"/>
      <c r="C662" s="10" t="n"/>
      <c r="D662" s="10" t="n"/>
      <c r="E662" s="10" t="n"/>
      <c r="F662" s="12" t="n"/>
      <c r="G662" s="13" t="n"/>
      <c r="H662" s="13" t="n"/>
      <c r="I662" s="13" t="n"/>
      <c r="J662" s="13" t="n"/>
      <c r="K662" s="13" t="n"/>
      <c r="L662" s="10" t="n"/>
      <c r="M662" s="10" t="n"/>
      <c r="N662" s="14">
        <f>IF(A662="","",WEEKNUM(A662,2))</f>
        <v/>
      </c>
      <c r="O662" s="15">
        <f>IF(OR(A662="",F662=""),"",LOOKUP(F662,Lists!$F$2:$F$5,Lists!$G$2:$G$5))</f>
        <v/>
      </c>
      <c r="P662" s="16">
        <f>IF(A662="","",SUM(H662:K662))</f>
        <v/>
      </c>
      <c r="Q662" s="17">
        <f>IF(A662="","",IFERROR(P662/G662,""))</f>
        <v/>
      </c>
      <c r="R662" s="14">
        <f>IF(OR(A662="",G662=""),"",COUNTIFS($N$2:$N$1000,"&gt;0",$G$2:$G$1000,"&gt;"&amp;G662)+COUNTIFS($N$2:N662,"&gt;0",$G$2:G662,G662))</f>
        <v/>
      </c>
    </row>
    <row r="663">
      <c r="A663" s="9" t="n"/>
      <c r="B663" s="10" t="n"/>
      <c r="C663" s="10" t="n"/>
      <c r="D663" s="10" t="n"/>
      <c r="E663" s="10" t="n"/>
      <c r="F663" s="12" t="n"/>
      <c r="G663" s="13" t="n"/>
      <c r="H663" s="13" t="n"/>
      <c r="I663" s="13" t="n"/>
      <c r="J663" s="13" t="n"/>
      <c r="K663" s="13" t="n"/>
      <c r="L663" s="10" t="n"/>
      <c r="M663" s="10" t="n"/>
      <c r="N663" s="14">
        <f>IF(A663="","",WEEKNUM(A663,2))</f>
        <v/>
      </c>
      <c r="O663" s="15">
        <f>IF(OR(A663="",F663=""),"",LOOKUP(F663,Lists!$F$2:$F$5,Lists!$G$2:$G$5))</f>
        <v/>
      </c>
      <c r="P663" s="16">
        <f>IF(A663="","",SUM(H663:K663))</f>
        <v/>
      </c>
      <c r="Q663" s="17">
        <f>IF(A663="","",IFERROR(P663/G663,""))</f>
        <v/>
      </c>
      <c r="R663" s="14">
        <f>IF(OR(A663="",G663=""),"",COUNTIFS($N$2:$N$1000,"&gt;0",$G$2:$G$1000,"&gt;"&amp;G663)+COUNTIFS($N$2:N663,"&gt;0",$G$2:G663,G663))</f>
        <v/>
      </c>
    </row>
    <row r="664">
      <c r="A664" s="9" t="n"/>
      <c r="B664" s="10" t="n"/>
      <c r="C664" s="10" t="n"/>
      <c r="D664" s="10" t="n"/>
      <c r="E664" s="10" t="n"/>
      <c r="F664" s="12" t="n"/>
      <c r="G664" s="13" t="n"/>
      <c r="H664" s="13" t="n"/>
      <c r="I664" s="13" t="n"/>
      <c r="J664" s="13" t="n"/>
      <c r="K664" s="13" t="n"/>
      <c r="L664" s="10" t="n"/>
      <c r="M664" s="10" t="n"/>
      <c r="N664" s="14">
        <f>IF(A664="","",WEEKNUM(A664,2))</f>
        <v/>
      </c>
      <c r="O664" s="15">
        <f>IF(OR(A664="",F664=""),"",LOOKUP(F664,Lists!$F$2:$F$5,Lists!$G$2:$G$5))</f>
        <v/>
      </c>
      <c r="P664" s="16">
        <f>IF(A664="","",SUM(H664:K664))</f>
        <v/>
      </c>
      <c r="Q664" s="17">
        <f>IF(A664="","",IFERROR(P664/G664,""))</f>
        <v/>
      </c>
      <c r="R664" s="14">
        <f>IF(OR(A664="",G664=""),"",COUNTIFS($N$2:$N$1000,"&gt;0",$G$2:$G$1000,"&gt;"&amp;G664)+COUNTIFS($N$2:N664,"&gt;0",$G$2:G664,G664))</f>
        <v/>
      </c>
    </row>
    <row r="665">
      <c r="A665" s="9" t="n"/>
      <c r="B665" s="10" t="n"/>
      <c r="C665" s="10" t="n"/>
      <c r="D665" s="10" t="n"/>
      <c r="E665" s="10" t="n"/>
      <c r="F665" s="12" t="n"/>
      <c r="G665" s="13" t="n"/>
      <c r="H665" s="13" t="n"/>
      <c r="I665" s="13" t="n"/>
      <c r="J665" s="13" t="n"/>
      <c r="K665" s="13" t="n"/>
      <c r="L665" s="10" t="n"/>
      <c r="M665" s="10" t="n"/>
      <c r="N665" s="14">
        <f>IF(A665="","",WEEKNUM(A665,2))</f>
        <v/>
      </c>
      <c r="O665" s="15">
        <f>IF(OR(A665="",F665=""),"",LOOKUP(F665,Lists!$F$2:$F$5,Lists!$G$2:$G$5))</f>
        <v/>
      </c>
      <c r="P665" s="16">
        <f>IF(A665="","",SUM(H665:K665))</f>
        <v/>
      </c>
      <c r="Q665" s="17">
        <f>IF(A665="","",IFERROR(P665/G665,""))</f>
        <v/>
      </c>
      <c r="R665" s="14">
        <f>IF(OR(A665="",G665=""),"",COUNTIFS($N$2:$N$1000,"&gt;0",$G$2:$G$1000,"&gt;"&amp;G665)+COUNTIFS($N$2:N665,"&gt;0",$G$2:G665,G665))</f>
        <v/>
      </c>
    </row>
    <row r="666">
      <c r="A666" s="9" t="n"/>
      <c r="B666" s="10" t="n"/>
      <c r="C666" s="10" t="n"/>
      <c r="D666" s="10" t="n"/>
      <c r="E666" s="10" t="n"/>
      <c r="F666" s="12" t="n"/>
      <c r="G666" s="13" t="n"/>
      <c r="H666" s="13" t="n"/>
      <c r="I666" s="13" t="n"/>
      <c r="J666" s="13" t="n"/>
      <c r="K666" s="13" t="n"/>
      <c r="L666" s="10" t="n"/>
      <c r="M666" s="10" t="n"/>
      <c r="N666" s="14">
        <f>IF(A666="","",WEEKNUM(A666,2))</f>
        <v/>
      </c>
      <c r="O666" s="15">
        <f>IF(OR(A666="",F666=""),"",LOOKUP(F666,Lists!$F$2:$F$5,Lists!$G$2:$G$5))</f>
        <v/>
      </c>
      <c r="P666" s="16">
        <f>IF(A666="","",SUM(H666:K666))</f>
        <v/>
      </c>
      <c r="Q666" s="17">
        <f>IF(A666="","",IFERROR(P666/G666,""))</f>
        <v/>
      </c>
      <c r="R666" s="14">
        <f>IF(OR(A666="",G666=""),"",COUNTIFS($N$2:$N$1000,"&gt;0",$G$2:$G$1000,"&gt;"&amp;G666)+COUNTIFS($N$2:N666,"&gt;0",$G$2:G666,G666))</f>
        <v/>
      </c>
    </row>
    <row r="667">
      <c r="A667" s="9" t="n"/>
      <c r="B667" s="10" t="n"/>
      <c r="C667" s="10" t="n"/>
      <c r="D667" s="10" t="n"/>
      <c r="E667" s="10" t="n"/>
      <c r="F667" s="12" t="n"/>
      <c r="G667" s="13" t="n"/>
      <c r="H667" s="13" t="n"/>
      <c r="I667" s="13" t="n"/>
      <c r="J667" s="13" t="n"/>
      <c r="K667" s="13" t="n"/>
      <c r="L667" s="10" t="n"/>
      <c r="M667" s="10" t="n"/>
      <c r="N667" s="14">
        <f>IF(A667="","",WEEKNUM(A667,2))</f>
        <v/>
      </c>
      <c r="O667" s="15">
        <f>IF(OR(A667="",F667=""),"",LOOKUP(F667,Lists!$F$2:$F$5,Lists!$G$2:$G$5))</f>
        <v/>
      </c>
      <c r="P667" s="16">
        <f>IF(A667="","",SUM(H667:K667))</f>
        <v/>
      </c>
      <c r="Q667" s="17">
        <f>IF(A667="","",IFERROR(P667/G667,""))</f>
        <v/>
      </c>
      <c r="R667" s="14">
        <f>IF(OR(A667="",G667=""),"",COUNTIFS($N$2:$N$1000,"&gt;0",$G$2:$G$1000,"&gt;"&amp;G667)+COUNTIFS($N$2:N667,"&gt;0",$G$2:G667,G667))</f>
        <v/>
      </c>
    </row>
    <row r="668">
      <c r="A668" s="9" t="n"/>
      <c r="B668" s="10" t="n"/>
      <c r="C668" s="10" t="n"/>
      <c r="D668" s="10" t="n"/>
      <c r="E668" s="10" t="n"/>
      <c r="F668" s="12" t="n"/>
      <c r="G668" s="13" t="n"/>
      <c r="H668" s="13" t="n"/>
      <c r="I668" s="13" t="n"/>
      <c r="J668" s="13" t="n"/>
      <c r="K668" s="13" t="n"/>
      <c r="L668" s="10" t="n"/>
      <c r="M668" s="10" t="n"/>
      <c r="N668" s="14">
        <f>IF(A668="","",WEEKNUM(A668,2))</f>
        <v/>
      </c>
      <c r="O668" s="15">
        <f>IF(OR(A668="",F668=""),"",LOOKUP(F668,Lists!$F$2:$F$5,Lists!$G$2:$G$5))</f>
        <v/>
      </c>
      <c r="P668" s="16">
        <f>IF(A668="","",SUM(H668:K668))</f>
        <v/>
      </c>
      <c r="Q668" s="17">
        <f>IF(A668="","",IFERROR(P668/G668,""))</f>
        <v/>
      </c>
      <c r="R668" s="14">
        <f>IF(OR(A668="",G668=""),"",COUNTIFS($N$2:$N$1000,"&gt;0",$G$2:$G$1000,"&gt;"&amp;G668)+COUNTIFS($N$2:N668,"&gt;0",$G$2:G668,G668))</f>
        <v/>
      </c>
    </row>
    <row r="669">
      <c r="A669" s="9" t="n"/>
      <c r="B669" s="10" t="n"/>
      <c r="C669" s="10" t="n"/>
      <c r="D669" s="10" t="n"/>
      <c r="E669" s="10" t="n"/>
      <c r="F669" s="12" t="n"/>
      <c r="G669" s="13" t="n"/>
      <c r="H669" s="13" t="n"/>
      <c r="I669" s="13" t="n"/>
      <c r="J669" s="13" t="n"/>
      <c r="K669" s="13" t="n"/>
      <c r="L669" s="10" t="n"/>
      <c r="M669" s="10" t="n"/>
      <c r="N669" s="14">
        <f>IF(A669="","",WEEKNUM(A669,2))</f>
        <v/>
      </c>
      <c r="O669" s="15">
        <f>IF(OR(A669="",F669=""),"",LOOKUP(F669,Lists!$F$2:$F$5,Lists!$G$2:$G$5))</f>
        <v/>
      </c>
      <c r="P669" s="16">
        <f>IF(A669="","",SUM(H669:K669))</f>
        <v/>
      </c>
      <c r="Q669" s="17">
        <f>IF(A669="","",IFERROR(P669/G669,""))</f>
        <v/>
      </c>
      <c r="R669" s="14">
        <f>IF(OR(A669="",G669=""),"",COUNTIFS($N$2:$N$1000,"&gt;0",$G$2:$G$1000,"&gt;"&amp;G669)+COUNTIFS($N$2:N669,"&gt;0",$G$2:G669,G669))</f>
        <v/>
      </c>
    </row>
    <row r="670">
      <c r="A670" s="9" t="n"/>
      <c r="B670" s="10" t="n"/>
      <c r="C670" s="10" t="n"/>
      <c r="D670" s="10" t="n"/>
      <c r="E670" s="10" t="n"/>
      <c r="F670" s="12" t="n"/>
      <c r="G670" s="13" t="n"/>
      <c r="H670" s="13" t="n"/>
      <c r="I670" s="13" t="n"/>
      <c r="J670" s="13" t="n"/>
      <c r="K670" s="13" t="n"/>
      <c r="L670" s="10" t="n"/>
      <c r="M670" s="10" t="n"/>
      <c r="N670" s="14">
        <f>IF(A670="","",WEEKNUM(A670,2))</f>
        <v/>
      </c>
      <c r="O670" s="15">
        <f>IF(OR(A670="",F670=""),"",LOOKUP(F670,Lists!$F$2:$F$5,Lists!$G$2:$G$5))</f>
        <v/>
      </c>
      <c r="P670" s="16">
        <f>IF(A670="","",SUM(H670:K670))</f>
        <v/>
      </c>
      <c r="Q670" s="17">
        <f>IF(A670="","",IFERROR(P670/G670,""))</f>
        <v/>
      </c>
      <c r="R670" s="14">
        <f>IF(OR(A670="",G670=""),"",COUNTIFS($N$2:$N$1000,"&gt;0",$G$2:$G$1000,"&gt;"&amp;G670)+COUNTIFS($N$2:N670,"&gt;0",$G$2:G670,G670))</f>
        <v/>
      </c>
    </row>
    <row r="671">
      <c r="A671" s="9" t="n"/>
      <c r="B671" s="10" t="n"/>
      <c r="C671" s="10" t="n"/>
      <c r="D671" s="10" t="n"/>
      <c r="E671" s="10" t="n"/>
      <c r="F671" s="12" t="n"/>
      <c r="G671" s="13" t="n"/>
      <c r="H671" s="13" t="n"/>
      <c r="I671" s="13" t="n"/>
      <c r="J671" s="13" t="n"/>
      <c r="K671" s="13" t="n"/>
      <c r="L671" s="10" t="n"/>
      <c r="M671" s="10" t="n"/>
      <c r="N671" s="14">
        <f>IF(A671="","",WEEKNUM(A671,2))</f>
        <v/>
      </c>
      <c r="O671" s="15">
        <f>IF(OR(A671="",F671=""),"",LOOKUP(F671,Lists!$F$2:$F$5,Lists!$G$2:$G$5))</f>
        <v/>
      </c>
      <c r="P671" s="16">
        <f>IF(A671="","",SUM(H671:K671))</f>
        <v/>
      </c>
      <c r="Q671" s="17">
        <f>IF(A671="","",IFERROR(P671/G671,""))</f>
        <v/>
      </c>
      <c r="R671" s="14">
        <f>IF(OR(A671="",G671=""),"",COUNTIFS($N$2:$N$1000,"&gt;0",$G$2:$G$1000,"&gt;"&amp;G671)+COUNTIFS($N$2:N671,"&gt;0",$G$2:G671,G671))</f>
        <v/>
      </c>
    </row>
    <row r="672">
      <c r="A672" s="9" t="n"/>
      <c r="B672" s="10" t="n"/>
      <c r="C672" s="10" t="n"/>
      <c r="D672" s="10" t="n"/>
      <c r="E672" s="10" t="n"/>
      <c r="F672" s="12" t="n"/>
      <c r="G672" s="13" t="n"/>
      <c r="H672" s="13" t="n"/>
      <c r="I672" s="13" t="n"/>
      <c r="J672" s="13" t="n"/>
      <c r="K672" s="13" t="n"/>
      <c r="L672" s="10" t="n"/>
      <c r="M672" s="10" t="n"/>
      <c r="N672" s="14">
        <f>IF(A672="","",WEEKNUM(A672,2))</f>
        <v/>
      </c>
      <c r="O672" s="15">
        <f>IF(OR(A672="",F672=""),"",LOOKUP(F672,Lists!$F$2:$F$5,Lists!$G$2:$G$5))</f>
        <v/>
      </c>
      <c r="P672" s="16">
        <f>IF(A672="","",SUM(H672:K672))</f>
        <v/>
      </c>
      <c r="Q672" s="17">
        <f>IF(A672="","",IFERROR(P672/G672,""))</f>
        <v/>
      </c>
      <c r="R672" s="14">
        <f>IF(OR(A672="",G672=""),"",COUNTIFS($N$2:$N$1000,"&gt;0",$G$2:$G$1000,"&gt;"&amp;G672)+COUNTIFS($N$2:N672,"&gt;0",$G$2:G672,G672))</f>
        <v/>
      </c>
    </row>
    <row r="673">
      <c r="A673" s="9" t="n"/>
      <c r="B673" s="10" t="n"/>
      <c r="C673" s="10" t="n"/>
      <c r="D673" s="10" t="n"/>
      <c r="E673" s="10" t="n"/>
      <c r="F673" s="12" t="n"/>
      <c r="G673" s="13" t="n"/>
      <c r="H673" s="13" t="n"/>
      <c r="I673" s="13" t="n"/>
      <c r="J673" s="13" t="n"/>
      <c r="K673" s="13" t="n"/>
      <c r="L673" s="10" t="n"/>
      <c r="M673" s="10" t="n"/>
      <c r="N673" s="14">
        <f>IF(A673="","",WEEKNUM(A673,2))</f>
        <v/>
      </c>
      <c r="O673" s="15">
        <f>IF(OR(A673="",F673=""),"",LOOKUP(F673,Lists!$F$2:$F$5,Lists!$G$2:$G$5))</f>
        <v/>
      </c>
      <c r="P673" s="16">
        <f>IF(A673="","",SUM(H673:K673))</f>
        <v/>
      </c>
      <c r="Q673" s="17">
        <f>IF(A673="","",IFERROR(P673/G673,""))</f>
        <v/>
      </c>
      <c r="R673" s="14">
        <f>IF(OR(A673="",G673=""),"",COUNTIFS($N$2:$N$1000,"&gt;0",$G$2:$G$1000,"&gt;"&amp;G673)+COUNTIFS($N$2:N673,"&gt;0",$G$2:G673,G673))</f>
        <v/>
      </c>
    </row>
    <row r="674">
      <c r="A674" s="9" t="n"/>
      <c r="B674" s="10" t="n"/>
      <c r="C674" s="10" t="n"/>
      <c r="D674" s="10" t="n"/>
      <c r="E674" s="10" t="n"/>
      <c r="F674" s="12" t="n"/>
      <c r="G674" s="13" t="n"/>
      <c r="H674" s="13" t="n"/>
      <c r="I674" s="13" t="n"/>
      <c r="J674" s="13" t="n"/>
      <c r="K674" s="13" t="n"/>
      <c r="L674" s="10" t="n"/>
      <c r="M674" s="10" t="n"/>
      <c r="N674" s="14">
        <f>IF(A674="","",WEEKNUM(A674,2))</f>
        <v/>
      </c>
      <c r="O674" s="15">
        <f>IF(OR(A674="",F674=""),"",LOOKUP(F674,Lists!$F$2:$F$5,Lists!$G$2:$G$5))</f>
        <v/>
      </c>
      <c r="P674" s="16">
        <f>IF(A674="","",SUM(H674:K674))</f>
        <v/>
      </c>
      <c r="Q674" s="17">
        <f>IF(A674="","",IFERROR(P674/G674,""))</f>
        <v/>
      </c>
      <c r="R674" s="14">
        <f>IF(OR(A674="",G674=""),"",COUNTIFS($N$2:$N$1000,"&gt;0",$G$2:$G$1000,"&gt;"&amp;G674)+COUNTIFS($N$2:N674,"&gt;0",$G$2:G674,G674))</f>
        <v/>
      </c>
    </row>
    <row r="675">
      <c r="A675" s="9" t="n"/>
      <c r="B675" s="10" t="n"/>
      <c r="C675" s="10" t="n"/>
      <c r="D675" s="10" t="n"/>
      <c r="E675" s="10" t="n"/>
      <c r="F675" s="12" t="n"/>
      <c r="G675" s="13" t="n"/>
      <c r="H675" s="13" t="n"/>
      <c r="I675" s="13" t="n"/>
      <c r="J675" s="13" t="n"/>
      <c r="K675" s="13" t="n"/>
      <c r="L675" s="10" t="n"/>
      <c r="M675" s="10" t="n"/>
      <c r="N675" s="14">
        <f>IF(A675="","",WEEKNUM(A675,2))</f>
        <v/>
      </c>
      <c r="O675" s="15">
        <f>IF(OR(A675="",F675=""),"",LOOKUP(F675,Lists!$F$2:$F$5,Lists!$G$2:$G$5))</f>
        <v/>
      </c>
      <c r="P675" s="16">
        <f>IF(A675="","",SUM(H675:K675))</f>
        <v/>
      </c>
      <c r="Q675" s="17">
        <f>IF(A675="","",IFERROR(P675/G675,""))</f>
        <v/>
      </c>
      <c r="R675" s="14">
        <f>IF(OR(A675="",G675=""),"",COUNTIFS($N$2:$N$1000,"&gt;0",$G$2:$G$1000,"&gt;"&amp;G675)+COUNTIFS($N$2:N675,"&gt;0",$G$2:G675,G675))</f>
        <v/>
      </c>
    </row>
    <row r="676">
      <c r="A676" s="9" t="n"/>
      <c r="B676" s="10" t="n"/>
      <c r="C676" s="10" t="n"/>
      <c r="D676" s="10" t="n"/>
      <c r="E676" s="10" t="n"/>
      <c r="F676" s="12" t="n"/>
      <c r="G676" s="13" t="n"/>
      <c r="H676" s="13" t="n"/>
      <c r="I676" s="13" t="n"/>
      <c r="J676" s="13" t="n"/>
      <c r="K676" s="13" t="n"/>
      <c r="L676" s="10" t="n"/>
      <c r="M676" s="10" t="n"/>
      <c r="N676" s="14">
        <f>IF(A676="","",WEEKNUM(A676,2))</f>
        <v/>
      </c>
      <c r="O676" s="15">
        <f>IF(OR(A676="",F676=""),"",LOOKUP(F676,Lists!$F$2:$F$5,Lists!$G$2:$G$5))</f>
        <v/>
      </c>
      <c r="P676" s="16">
        <f>IF(A676="","",SUM(H676:K676))</f>
        <v/>
      </c>
      <c r="Q676" s="17">
        <f>IF(A676="","",IFERROR(P676/G676,""))</f>
        <v/>
      </c>
      <c r="R676" s="14">
        <f>IF(OR(A676="",G676=""),"",COUNTIFS($N$2:$N$1000,"&gt;0",$G$2:$G$1000,"&gt;"&amp;G676)+COUNTIFS($N$2:N676,"&gt;0",$G$2:G676,G676))</f>
        <v/>
      </c>
    </row>
    <row r="677">
      <c r="A677" s="9" t="n"/>
      <c r="B677" s="10" t="n"/>
      <c r="C677" s="10" t="n"/>
      <c r="D677" s="10" t="n"/>
      <c r="E677" s="10" t="n"/>
      <c r="F677" s="12" t="n"/>
      <c r="G677" s="13" t="n"/>
      <c r="H677" s="13" t="n"/>
      <c r="I677" s="13" t="n"/>
      <c r="J677" s="13" t="n"/>
      <c r="K677" s="13" t="n"/>
      <c r="L677" s="10" t="n"/>
      <c r="M677" s="10" t="n"/>
      <c r="N677" s="14">
        <f>IF(A677="","",WEEKNUM(A677,2))</f>
        <v/>
      </c>
      <c r="O677" s="15">
        <f>IF(OR(A677="",F677=""),"",LOOKUP(F677,Lists!$F$2:$F$5,Lists!$G$2:$G$5))</f>
        <v/>
      </c>
      <c r="P677" s="16">
        <f>IF(A677="","",SUM(H677:K677))</f>
        <v/>
      </c>
      <c r="Q677" s="17">
        <f>IF(A677="","",IFERROR(P677/G677,""))</f>
        <v/>
      </c>
      <c r="R677" s="14">
        <f>IF(OR(A677="",G677=""),"",COUNTIFS($N$2:$N$1000,"&gt;0",$G$2:$G$1000,"&gt;"&amp;G677)+COUNTIFS($N$2:N677,"&gt;0",$G$2:G677,G677))</f>
        <v/>
      </c>
    </row>
    <row r="678">
      <c r="A678" s="9" t="n"/>
      <c r="B678" s="10" t="n"/>
      <c r="C678" s="10" t="n"/>
      <c r="D678" s="10" t="n"/>
      <c r="E678" s="10" t="n"/>
      <c r="F678" s="12" t="n"/>
      <c r="G678" s="13" t="n"/>
      <c r="H678" s="13" t="n"/>
      <c r="I678" s="13" t="n"/>
      <c r="J678" s="13" t="n"/>
      <c r="K678" s="13" t="n"/>
      <c r="L678" s="10" t="n"/>
      <c r="M678" s="10" t="n"/>
      <c r="N678" s="14">
        <f>IF(A678="","",WEEKNUM(A678,2))</f>
        <v/>
      </c>
      <c r="O678" s="15">
        <f>IF(OR(A678="",F678=""),"",LOOKUP(F678,Lists!$F$2:$F$5,Lists!$G$2:$G$5))</f>
        <v/>
      </c>
      <c r="P678" s="16">
        <f>IF(A678="","",SUM(H678:K678))</f>
        <v/>
      </c>
      <c r="Q678" s="17">
        <f>IF(A678="","",IFERROR(P678/G678,""))</f>
        <v/>
      </c>
      <c r="R678" s="14">
        <f>IF(OR(A678="",G678=""),"",COUNTIFS($N$2:$N$1000,"&gt;0",$G$2:$G$1000,"&gt;"&amp;G678)+COUNTIFS($N$2:N678,"&gt;0",$G$2:G678,G678))</f>
        <v/>
      </c>
    </row>
    <row r="679">
      <c r="A679" s="9" t="n"/>
      <c r="B679" s="10" t="n"/>
      <c r="C679" s="10" t="n"/>
      <c r="D679" s="10" t="n"/>
      <c r="E679" s="10" t="n"/>
      <c r="F679" s="12" t="n"/>
      <c r="G679" s="13" t="n"/>
      <c r="H679" s="13" t="n"/>
      <c r="I679" s="13" t="n"/>
      <c r="J679" s="13" t="n"/>
      <c r="K679" s="13" t="n"/>
      <c r="L679" s="10" t="n"/>
      <c r="M679" s="10" t="n"/>
      <c r="N679" s="14">
        <f>IF(A679="","",WEEKNUM(A679,2))</f>
        <v/>
      </c>
      <c r="O679" s="15">
        <f>IF(OR(A679="",F679=""),"",LOOKUP(F679,Lists!$F$2:$F$5,Lists!$G$2:$G$5))</f>
        <v/>
      </c>
      <c r="P679" s="16">
        <f>IF(A679="","",SUM(H679:K679))</f>
        <v/>
      </c>
      <c r="Q679" s="17">
        <f>IF(A679="","",IFERROR(P679/G679,""))</f>
        <v/>
      </c>
      <c r="R679" s="14">
        <f>IF(OR(A679="",G679=""),"",COUNTIFS($N$2:$N$1000,"&gt;0",$G$2:$G$1000,"&gt;"&amp;G679)+COUNTIFS($N$2:N679,"&gt;0",$G$2:G679,G679))</f>
        <v/>
      </c>
    </row>
    <row r="680">
      <c r="A680" s="9" t="n"/>
      <c r="B680" s="10" t="n"/>
      <c r="C680" s="10" t="n"/>
      <c r="D680" s="10" t="n"/>
      <c r="E680" s="10" t="n"/>
      <c r="F680" s="12" t="n"/>
      <c r="G680" s="13" t="n"/>
      <c r="H680" s="13" t="n"/>
      <c r="I680" s="13" t="n"/>
      <c r="J680" s="13" t="n"/>
      <c r="K680" s="13" t="n"/>
      <c r="L680" s="10" t="n"/>
      <c r="M680" s="10" t="n"/>
      <c r="N680" s="14">
        <f>IF(A680="","",WEEKNUM(A680,2))</f>
        <v/>
      </c>
      <c r="O680" s="15">
        <f>IF(OR(A680="",F680=""),"",LOOKUP(F680,Lists!$F$2:$F$5,Lists!$G$2:$G$5))</f>
        <v/>
      </c>
      <c r="P680" s="16">
        <f>IF(A680="","",SUM(H680:K680))</f>
        <v/>
      </c>
      <c r="Q680" s="17">
        <f>IF(A680="","",IFERROR(P680/G680,""))</f>
        <v/>
      </c>
      <c r="R680" s="14">
        <f>IF(OR(A680="",G680=""),"",COUNTIFS($N$2:$N$1000,"&gt;0",$G$2:$G$1000,"&gt;"&amp;G680)+COUNTIFS($N$2:N680,"&gt;0",$G$2:G680,G680))</f>
        <v/>
      </c>
    </row>
    <row r="681">
      <c r="A681" s="9" t="n"/>
      <c r="B681" s="10" t="n"/>
      <c r="C681" s="10" t="n"/>
      <c r="D681" s="10" t="n"/>
      <c r="E681" s="10" t="n"/>
      <c r="F681" s="12" t="n"/>
      <c r="G681" s="13" t="n"/>
      <c r="H681" s="13" t="n"/>
      <c r="I681" s="13" t="n"/>
      <c r="J681" s="13" t="n"/>
      <c r="K681" s="13" t="n"/>
      <c r="L681" s="10" t="n"/>
      <c r="M681" s="10" t="n"/>
      <c r="N681" s="14">
        <f>IF(A681="","",WEEKNUM(A681,2))</f>
        <v/>
      </c>
      <c r="O681" s="15">
        <f>IF(OR(A681="",F681=""),"",LOOKUP(F681,Lists!$F$2:$F$5,Lists!$G$2:$G$5))</f>
        <v/>
      </c>
      <c r="P681" s="16">
        <f>IF(A681="","",SUM(H681:K681))</f>
        <v/>
      </c>
      <c r="Q681" s="17">
        <f>IF(A681="","",IFERROR(P681/G681,""))</f>
        <v/>
      </c>
      <c r="R681" s="14">
        <f>IF(OR(A681="",G681=""),"",COUNTIFS($N$2:$N$1000,"&gt;0",$G$2:$G$1000,"&gt;"&amp;G681)+COUNTIFS($N$2:N681,"&gt;0",$G$2:G681,G681))</f>
        <v/>
      </c>
    </row>
    <row r="682">
      <c r="A682" s="9" t="n"/>
      <c r="B682" s="10" t="n"/>
      <c r="C682" s="10" t="n"/>
      <c r="D682" s="10" t="n"/>
      <c r="E682" s="10" t="n"/>
      <c r="F682" s="12" t="n"/>
      <c r="G682" s="13" t="n"/>
      <c r="H682" s="13" t="n"/>
      <c r="I682" s="13" t="n"/>
      <c r="J682" s="13" t="n"/>
      <c r="K682" s="13" t="n"/>
      <c r="L682" s="10" t="n"/>
      <c r="M682" s="10" t="n"/>
      <c r="N682" s="14">
        <f>IF(A682="","",WEEKNUM(A682,2))</f>
        <v/>
      </c>
      <c r="O682" s="15">
        <f>IF(OR(A682="",F682=""),"",LOOKUP(F682,Lists!$F$2:$F$5,Lists!$G$2:$G$5))</f>
        <v/>
      </c>
      <c r="P682" s="16">
        <f>IF(A682="","",SUM(H682:K682))</f>
        <v/>
      </c>
      <c r="Q682" s="17">
        <f>IF(A682="","",IFERROR(P682/G682,""))</f>
        <v/>
      </c>
      <c r="R682" s="14">
        <f>IF(OR(A682="",G682=""),"",COUNTIFS($N$2:$N$1000,"&gt;0",$G$2:$G$1000,"&gt;"&amp;G682)+COUNTIFS($N$2:N682,"&gt;0",$G$2:G682,G682))</f>
        <v/>
      </c>
    </row>
    <row r="683">
      <c r="A683" s="9" t="n"/>
      <c r="B683" s="10" t="n"/>
      <c r="C683" s="10" t="n"/>
      <c r="D683" s="10" t="n"/>
      <c r="E683" s="10" t="n"/>
      <c r="F683" s="12" t="n"/>
      <c r="G683" s="13" t="n"/>
      <c r="H683" s="13" t="n"/>
      <c r="I683" s="13" t="n"/>
      <c r="J683" s="13" t="n"/>
      <c r="K683" s="13" t="n"/>
      <c r="L683" s="10" t="n"/>
      <c r="M683" s="10" t="n"/>
      <c r="N683" s="14">
        <f>IF(A683="","",WEEKNUM(A683,2))</f>
        <v/>
      </c>
      <c r="O683" s="15">
        <f>IF(OR(A683="",F683=""),"",LOOKUP(F683,Lists!$F$2:$F$5,Lists!$G$2:$G$5))</f>
        <v/>
      </c>
      <c r="P683" s="16">
        <f>IF(A683="","",SUM(H683:K683))</f>
        <v/>
      </c>
      <c r="Q683" s="17">
        <f>IF(A683="","",IFERROR(P683/G683,""))</f>
        <v/>
      </c>
      <c r="R683" s="14">
        <f>IF(OR(A683="",G683=""),"",COUNTIFS($N$2:$N$1000,"&gt;0",$G$2:$G$1000,"&gt;"&amp;G683)+COUNTIFS($N$2:N683,"&gt;0",$G$2:G683,G683))</f>
        <v/>
      </c>
    </row>
    <row r="684">
      <c r="A684" s="9" t="n"/>
      <c r="B684" s="10" t="n"/>
      <c r="C684" s="10" t="n"/>
      <c r="D684" s="10" t="n"/>
      <c r="E684" s="10" t="n"/>
      <c r="F684" s="12" t="n"/>
      <c r="G684" s="13" t="n"/>
      <c r="H684" s="13" t="n"/>
      <c r="I684" s="13" t="n"/>
      <c r="J684" s="13" t="n"/>
      <c r="K684" s="13" t="n"/>
      <c r="L684" s="10" t="n"/>
      <c r="M684" s="10" t="n"/>
      <c r="N684" s="14">
        <f>IF(A684="","",WEEKNUM(A684,2))</f>
        <v/>
      </c>
      <c r="O684" s="15">
        <f>IF(OR(A684="",F684=""),"",LOOKUP(F684,Lists!$F$2:$F$5,Lists!$G$2:$G$5))</f>
        <v/>
      </c>
      <c r="P684" s="16">
        <f>IF(A684="","",SUM(H684:K684))</f>
        <v/>
      </c>
      <c r="Q684" s="17">
        <f>IF(A684="","",IFERROR(P684/G684,""))</f>
        <v/>
      </c>
      <c r="R684" s="14">
        <f>IF(OR(A684="",G684=""),"",COUNTIFS($N$2:$N$1000,"&gt;0",$G$2:$G$1000,"&gt;"&amp;G684)+COUNTIFS($N$2:N684,"&gt;0",$G$2:G684,G684))</f>
        <v/>
      </c>
    </row>
    <row r="685">
      <c r="A685" s="9" t="n"/>
      <c r="B685" s="10" t="n"/>
      <c r="C685" s="10" t="n"/>
      <c r="D685" s="10" t="n"/>
      <c r="E685" s="10" t="n"/>
      <c r="F685" s="12" t="n"/>
      <c r="G685" s="13" t="n"/>
      <c r="H685" s="13" t="n"/>
      <c r="I685" s="13" t="n"/>
      <c r="J685" s="13" t="n"/>
      <c r="K685" s="13" t="n"/>
      <c r="L685" s="10" t="n"/>
      <c r="M685" s="10" t="n"/>
      <c r="N685" s="14">
        <f>IF(A685="","",WEEKNUM(A685,2))</f>
        <v/>
      </c>
      <c r="O685" s="15">
        <f>IF(OR(A685="",F685=""),"",LOOKUP(F685,Lists!$F$2:$F$5,Lists!$G$2:$G$5))</f>
        <v/>
      </c>
      <c r="P685" s="16">
        <f>IF(A685="","",SUM(H685:K685))</f>
        <v/>
      </c>
      <c r="Q685" s="17">
        <f>IF(A685="","",IFERROR(P685/G685,""))</f>
        <v/>
      </c>
      <c r="R685" s="14">
        <f>IF(OR(A685="",G685=""),"",COUNTIFS($N$2:$N$1000,"&gt;0",$G$2:$G$1000,"&gt;"&amp;G685)+COUNTIFS($N$2:N685,"&gt;0",$G$2:G685,G685))</f>
        <v/>
      </c>
    </row>
    <row r="686">
      <c r="A686" s="9" t="n"/>
      <c r="B686" s="10" t="n"/>
      <c r="C686" s="10" t="n"/>
      <c r="D686" s="10" t="n"/>
      <c r="E686" s="10" t="n"/>
      <c r="F686" s="12" t="n"/>
      <c r="G686" s="13" t="n"/>
      <c r="H686" s="13" t="n"/>
      <c r="I686" s="13" t="n"/>
      <c r="J686" s="13" t="n"/>
      <c r="K686" s="13" t="n"/>
      <c r="L686" s="10" t="n"/>
      <c r="M686" s="10" t="n"/>
      <c r="N686" s="14">
        <f>IF(A686="","",WEEKNUM(A686,2))</f>
        <v/>
      </c>
      <c r="O686" s="15">
        <f>IF(OR(A686="",F686=""),"",LOOKUP(F686,Lists!$F$2:$F$5,Lists!$G$2:$G$5))</f>
        <v/>
      </c>
      <c r="P686" s="16">
        <f>IF(A686="","",SUM(H686:K686))</f>
        <v/>
      </c>
      <c r="Q686" s="17">
        <f>IF(A686="","",IFERROR(P686/G686,""))</f>
        <v/>
      </c>
      <c r="R686" s="14">
        <f>IF(OR(A686="",G686=""),"",COUNTIFS($N$2:$N$1000,"&gt;0",$G$2:$G$1000,"&gt;"&amp;G686)+COUNTIFS($N$2:N686,"&gt;0",$G$2:G686,G686))</f>
        <v/>
      </c>
    </row>
    <row r="687">
      <c r="A687" s="9" t="n"/>
      <c r="B687" s="10" t="n"/>
      <c r="C687" s="10" t="n"/>
      <c r="D687" s="10" t="n"/>
      <c r="E687" s="10" t="n"/>
      <c r="F687" s="12" t="n"/>
      <c r="G687" s="13" t="n"/>
      <c r="H687" s="13" t="n"/>
      <c r="I687" s="13" t="n"/>
      <c r="J687" s="13" t="n"/>
      <c r="K687" s="13" t="n"/>
      <c r="L687" s="10" t="n"/>
      <c r="M687" s="10" t="n"/>
      <c r="N687" s="14">
        <f>IF(A687="","",WEEKNUM(A687,2))</f>
        <v/>
      </c>
      <c r="O687" s="15">
        <f>IF(OR(A687="",F687=""),"",LOOKUP(F687,Lists!$F$2:$F$5,Lists!$G$2:$G$5))</f>
        <v/>
      </c>
      <c r="P687" s="16">
        <f>IF(A687="","",SUM(H687:K687))</f>
        <v/>
      </c>
      <c r="Q687" s="17">
        <f>IF(A687="","",IFERROR(P687/G687,""))</f>
        <v/>
      </c>
      <c r="R687" s="14">
        <f>IF(OR(A687="",G687=""),"",COUNTIFS($N$2:$N$1000,"&gt;0",$G$2:$G$1000,"&gt;"&amp;G687)+COUNTIFS($N$2:N687,"&gt;0",$G$2:G687,G687))</f>
        <v/>
      </c>
    </row>
    <row r="688">
      <c r="A688" s="9" t="n"/>
      <c r="B688" s="10" t="n"/>
      <c r="C688" s="10" t="n"/>
      <c r="D688" s="10" t="n"/>
      <c r="E688" s="10" t="n"/>
      <c r="F688" s="12" t="n"/>
      <c r="G688" s="13" t="n"/>
      <c r="H688" s="13" t="n"/>
      <c r="I688" s="13" t="n"/>
      <c r="J688" s="13" t="n"/>
      <c r="K688" s="13" t="n"/>
      <c r="L688" s="10" t="n"/>
      <c r="M688" s="10" t="n"/>
      <c r="N688" s="14">
        <f>IF(A688="","",WEEKNUM(A688,2))</f>
        <v/>
      </c>
      <c r="O688" s="15">
        <f>IF(OR(A688="",F688=""),"",LOOKUP(F688,Lists!$F$2:$F$5,Lists!$G$2:$G$5))</f>
        <v/>
      </c>
      <c r="P688" s="16">
        <f>IF(A688="","",SUM(H688:K688))</f>
        <v/>
      </c>
      <c r="Q688" s="17">
        <f>IF(A688="","",IFERROR(P688/G688,""))</f>
        <v/>
      </c>
      <c r="R688" s="14">
        <f>IF(OR(A688="",G688=""),"",COUNTIFS($N$2:$N$1000,"&gt;0",$G$2:$G$1000,"&gt;"&amp;G688)+COUNTIFS($N$2:N688,"&gt;0",$G$2:G688,G688))</f>
        <v/>
      </c>
    </row>
    <row r="689">
      <c r="A689" s="9" t="n"/>
      <c r="B689" s="10" t="n"/>
      <c r="C689" s="10" t="n"/>
      <c r="D689" s="10" t="n"/>
      <c r="E689" s="10" t="n"/>
      <c r="F689" s="12" t="n"/>
      <c r="G689" s="13" t="n"/>
      <c r="H689" s="13" t="n"/>
      <c r="I689" s="13" t="n"/>
      <c r="J689" s="13" t="n"/>
      <c r="K689" s="13" t="n"/>
      <c r="L689" s="10" t="n"/>
      <c r="M689" s="10" t="n"/>
      <c r="N689" s="14">
        <f>IF(A689="","",WEEKNUM(A689,2))</f>
        <v/>
      </c>
      <c r="O689" s="15">
        <f>IF(OR(A689="",F689=""),"",LOOKUP(F689,Lists!$F$2:$F$5,Lists!$G$2:$G$5))</f>
        <v/>
      </c>
      <c r="P689" s="16">
        <f>IF(A689="","",SUM(H689:K689))</f>
        <v/>
      </c>
      <c r="Q689" s="17">
        <f>IF(A689="","",IFERROR(P689/G689,""))</f>
        <v/>
      </c>
      <c r="R689" s="14">
        <f>IF(OR(A689="",G689=""),"",COUNTIFS($N$2:$N$1000,"&gt;0",$G$2:$G$1000,"&gt;"&amp;G689)+COUNTIFS($N$2:N689,"&gt;0",$G$2:G689,G689))</f>
        <v/>
      </c>
    </row>
    <row r="690">
      <c r="A690" s="9" t="n"/>
      <c r="B690" s="10" t="n"/>
      <c r="C690" s="10" t="n"/>
      <c r="D690" s="10" t="n"/>
      <c r="E690" s="10" t="n"/>
      <c r="F690" s="12" t="n"/>
      <c r="G690" s="13" t="n"/>
      <c r="H690" s="13" t="n"/>
      <c r="I690" s="13" t="n"/>
      <c r="J690" s="13" t="n"/>
      <c r="K690" s="13" t="n"/>
      <c r="L690" s="10" t="n"/>
      <c r="M690" s="10" t="n"/>
      <c r="N690" s="14">
        <f>IF(A690="","",WEEKNUM(A690,2))</f>
        <v/>
      </c>
      <c r="O690" s="15">
        <f>IF(OR(A690="",F690=""),"",LOOKUP(F690,Lists!$F$2:$F$5,Lists!$G$2:$G$5))</f>
        <v/>
      </c>
      <c r="P690" s="16">
        <f>IF(A690="","",SUM(H690:K690))</f>
        <v/>
      </c>
      <c r="Q690" s="17">
        <f>IF(A690="","",IFERROR(P690/G690,""))</f>
        <v/>
      </c>
      <c r="R690" s="14">
        <f>IF(OR(A690="",G690=""),"",COUNTIFS($N$2:$N$1000,"&gt;0",$G$2:$G$1000,"&gt;"&amp;G690)+COUNTIFS($N$2:N690,"&gt;0",$G$2:G690,G690))</f>
        <v/>
      </c>
    </row>
    <row r="691">
      <c r="A691" s="9" t="n"/>
      <c r="B691" s="10" t="n"/>
      <c r="C691" s="10" t="n"/>
      <c r="D691" s="10" t="n"/>
      <c r="E691" s="10" t="n"/>
      <c r="F691" s="12" t="n"/>
      <c r="G691" s="13" t="n"/>
      <c r="H691" s="13" t="n"/>
      <c r="I691" s="13" t="n"/>
      <c r="J691" s="13" t="n"/>
      <c r="K691" s="13" t="n"/>
      <c r="L691" s="10" t="n"/>
      <c r="M691" s="10" t="n"/>
      <c r="N691" s="14">
        <f>IF(A691="","",WEEKNUM(A691,2))</f>
        <v/>
      </c>
      <c r="O691" s="15">
        <f>IF(OR(A691="",F691=""),"",LOOKUP(F691,Lists!$F$2:$F$5,Lists!$G$2:$G$5))</f>
        <v/>
      </c>
      <c r="P691" s="16">
        <f>IF(A691="","",SUM(H691:K691))</f>
        <v/>
      </c>
      <c r="Q691" s="17">
        <f>IF(A691="","",IFERROR(P691/G691,""))</f>
        <v/>
      </c>
      <c r="R691" s="14">
        <f>IF(OR(A691="",G691=""),"",COUNTIFS($N$2:$N$1000,"&gt;0",$G$2:$G$1000,"&gt;"&amp;G691)+COUNTIFS($N$2:N691,"&gt;0",$G$2:G691,G691))</f>
        <v/>
      </c>
    </row>
    <row r="692">
      <c r="A692" s="9" t="n"/>
      <c r="B692" s="10" t="n"/>
      <c r="C692" s="10" t="n"/>
      <c r="D692" s="10" t="n"/>
      <c r="E692" s="10" t="n"/>
      <c r="F692" s="12" t="n"/>
      <c r="G692" s="13" t="n"/>
      <c r="H692" s="13" t="n"/>
      <c r="I692" s="13" t="n"/>
      <c r="J692" s="13" t="n"/>
      <c r="K692" s="13" t="n"/>
      <c r="L692" s="10" t="n"/>
      <c r="M692" s="10" t="n"/>
      <c r="N692" s="14">
        <f>IF(A692="","",WEEKNUM(A692,2))</f>
        <v/>
      </c>
      <c r="O692" s="15">
        <f>IF(OR(A692="",F692=""),"",LOOKUP(F692,Lists!$F$2:$F$5,Lists!$G$2:$G$5))</f>
        <v/>
      </c>
      <c r="P692" s="16">
        <f>IF(A692="","",SUM(H692:K692))</f>
        <v/>
      </c>
      <c r="Q692" s="17">
        <f>IF(A692="","",IFERROR(P692/G692,""))</f>
        <v/>
      </c>
      <c r="R692" s="14">
        <f>IF(OR(A692="",G692=""),"",COUNTIFS($N$2:$N$1000,"&gt;0",$G$2:$G$1000,"&gt;"&amp;G692)+COUNTIFS($N$2:N692,"&gt;0",$G$2:G692,G692))</f>
        <v/>
      </c>
    </row>
    <row r="693">
      <c r="A693" s="9" t="n"/>
      <c r="B693" s="10" t="n"/>
      <c r="C693" s="10" t="n"/>
      <c r="D693" s="10" t="n"/>
      <c r="E693" s="10" t="n"/>
      <c r="F693" s="12" t="n"/>
      <c r="G693" s="13" t="n"/>
      <c r="H693" s="13" t="n"/>
      <c r="I693" s="13" t="n"/>
      <c r="J693" s="13" t="n"/>
      <c r="K693" s="13" t="n"/>
      <c r="L693" s="10" t="n"/>
      <c r="M693" s="10" t="n"/>
      <c r="N693" s="14">
        <f>IF(A693="","",WEEKNUM(A693,2))</f>
        <v/>
      </c>
      <c r="O693" s="15">
        <f>IF(OR(A693="",F693=""),"",LOOKUP(F693,Lists!$F$2:$F$5,Lists!$G$2:$G$5))</f>
        <v/>
      </c>
      <c r="P693" s="16">
        <f>IF(A693="","",SUM(H693:K693))</f>
        <v/>
      </c>
      <c r="Q693" s="17">
        <f>IF(A693="","",IFERROR(P693/G693,""))</f>
        <v/>
      </c>
      <c r="R693" s="14">
        <f>IF(OR(A693="",G693=""),"",COUNTIFS($N$2:$N$1000,"&gt;0",$G$2:$G$1000,"&gt;"&amp;G693)+COUNTIFS($N$2:N693,"&gt;0",$G$2:G693,G693))</f>
        <v/>
      </c>
    </row>
    <row r="694">
      <c r="A694" s="9" t="n"/>
      <c r="B694" s="10" t="n"/>
      <c r="C694" s="10" t="n"/>
      <c r="D694" s="10" t="n"/>
      <c r="E694" s="10" t="n"/>
      <c r="F694" s="12" t="n"/>
      <c r="G694" s="13" t="n"/>
      <c r="H694" s="13" t="n"/>
      <c r="I694" s="13" t="n"/>
      <c r="J694" s="13" t="n"/>
      <c r="K694" s="13" t="n"/>
      <c r="L694" s="10" t="n"/>
      <c r="M694" s="10" t="n"/>
      <c r="N694" s="14">
        <f>IF(A694="","",WEEKNUM(A694,2))</f>
        <v/>
      </c>
      <c r="O694" s="15">
        <f>IF(OR(A694="",F694=""),"",LOOKUP(F694,Lists!$F$2:$F$5,Lists!$G$2:$G$5))</f>
        <v/>
      </c>
      <c r="P694" s="16">
        <f>IF(A694="","",SUM(H694:K694))</f>
        <v/>
      </c>
      <c r="Q694" s="17">
        <f>IF(A694="","",IFERROR(P694/G694,""))</f>
        <v/>
      </c>
      <c r="R694" s="14">
        <f>IF(OR(A694="",G694=""),"",COUNTIFS($N$2:$N$1000,"&gt;0",$G$2:$G$1000,"&gt;"&amp;G694)+COUNTIFS($N$2:N694,"&gt;0",$G$2:G694,G694))</f>
        <v/>
      </c>
    </row>
    <row r="695">
      <c r="A695" s="9" t="n"/>
      <c r="B695" s="10" t="n"/>
      <c r="C695" s="10" t="n"/>
      <c r="D695" s="10" t="n"/>
      <c r="E695" s="10" t="n"/>
      <c r="F695" s="12" t="n"/>
      <c r="G695" s="13" t="n"/>
      <c r="H695" s="13" t="n"/>
      <c r="I695" s="13" t="n"/>
      <c r="J695" s="13" t="n"/>
      <c r="K695" s="13" t="n"/>
      <c r="L695" s="10" t="n"/>
      <c r="M695" s="10" t="n"/>
      <c r="N695" s="14">
        <f>IF(A695="","",WEEKNUM(A695,2))</f>
        <v/>
      </c>
      <c r="O695" s="15">
        <f>IF(OR(A695="",F695=""),"",LOOKUP(F695,Lists!$F$2:$F$5,Lists!$G$2:$G$5))</f>
        <v/>
      </c>
      <c r="P695" s="16">
        <f>IF(A695="","",SUM(H695:K695))</f>
        <v/>
      </c>
      <c r="Q695" s="17">
        <f>IF(A695="","",IFERROR(P695/G695,""))</f>
        <v/>
      </c>
      <c r="R695" s="14">
        <f>IF(OR(A695="",G695=""),"",COUNTIFS($N$2:$N$1000,"&gt;0",$G$2:$G$1000,"&gt;"&amp;G695)+COUNTIFS($N$2:N695,"&gt;0",$G$2:G695,G695))</f>
        <v/>
      </c>
    </row>
    <row r="696">
      <c r="A696" s="9" t="n"/>
      <c r="B696" s="10" t="n"/>
      <c r="C696" s="10" t="n"/>
      <c r="D696" s="10" t="n"/>
      <c r="E696" s="10" t="n"/>
      <c r="F696" s="12" t="n"/>
      <c r="G696" s="13" t="n"/>
      <c r="H696" s="13" t="n"/>
      <c r="I696" s="13" t="n"/>
      <c r="J696" s="13" t="n"/>
      <c r="K696" s="13" t="n"/>
      <c r="L696" s="10" t="n"/>
      <c r="M696" s="10" t="n"/>
      <c r="N696" s="14">
        <f>IF(A696="","",WEEKNUM(A696,2))</f>
        <v/>
      </c>
      <c r="O696" s="15">
        <f>IF(OR(A696="",F696=""),"",LOOKUP(F696,Lists!$F$2:$F$5,Lists!$G$2:$G$5))</f>
        <v/>
      </c>
      <c r="P696" s="16">
        <f>IF(A696="","",SUM(H696:K696))</f>
        <v/>
      </c>
      <c r="Q696" s="17">
        <f>IF(A696="","",IFERROR(P696/G696,""))</f>
        <v/>
      </c>
      <c r="R696" s="14">
        <f>IF(OR(A696="",G696=""),"",COUNTIFS($N$2:$N$1000,"&gt;0",$G$2:$G$1000,"&gt;"&amp;G696)+COUNTIFS($N$2:N696,"&gt;0",$G$2:G696,G696))</f>
        <v/>
      </c>
    </row>
    <row r="697">
      <c r="A697" s="9" t="n"/>
      <c r="B697" s="10" t="n"/>
      <c r="C697" s="10" t="n"/>
      <c r="D697" s="10" t="n"/>
      <c r="E697" s="10" t="n"/>
      <c r="F697" s="12" t="n"/>
      <c r="G697" s="13" t="n"/>
      <c r="H697" s="13" t="n"/>
      <c r="I697" s="13" t="n"/>
      <c r="J697" s="13" t="n"/>
      <c r="K697" s="13" t="n"/>
      <c r="L697" s="10" t="n"/>
      <c r="M697" s="10" t="n"/>
      <c r="N697" s="14">
        <f>IF(A697="","",WEEKNUM(A697,2))</f>
        <v/>
      </c>
      <c r="O697" s="15">
        <f>IF(OR(A697="",F697=""),"",LOOKUP(F697,Lists!$F$2:$F$5,Lists!$G$2:$G$5))</f>
        <v/>
      </c>
      <c r="P697" s="16">
        <f>IF(A697="","",SUM(H697:K697))</f>
        <v/>
      </c>
      <c r="Q697" s="17">
        <f>IF(A697="","",IFERROR(P697/G697,""))</f>
        <v/>
      </c>
      <c r="R697" s="14">
        <f>IF(OR(A697="",G697=""),"",COUNTIFS($N$2:$N$1000,"&gt;0",$G$2:$G$1000,"&gt;"&amp;G697)+COUNTIFS($N$2:N697,"&gt;0",$G$2:G697,G697))</f>
        <v/>
      </c>
    </row>
    <row r="698">
      <c r="A698" s="9" t="n"/>
      <c r="B698" s="10" t="n"/>
      <c r="C698" s="10" t="n"/>
      <c r="D698" s="10" t="n"/>
      <c r="E698" s="10" t="n"/>
      <c r="F698" s="12" t="n"/>
      <c r="G698" s="13" t="n"/>
      <c r="H698" s="13" t="n"/>
      <c r="I698" s="13" t="n"/>
      <c r="J698" s="13" t="n"/>
      <c r="K698" s="13" t="n"/>
      <c r="L698" s="10" t="n"/>
      <c r="M698" s="10" t="n"/>
      <c r="N698" s="14">
        <f>IF(A698="","",WEEKNUM(A698,2))</f>
        <v/>
      </c>
      <c r="O698" s="15">
        <f>IF(OR(A698="",F698=""),"",LOOKUP(F698,Lists!$F$2:$F$5,Lists!$G$2:$G$5))</f>
        <v/>
      </c>
      <c r="P698" s="16">
        <f>IF(A698="","",SUM(H698:K698))</f>
        <v/>
      </c>
      <c r="Q698" s="17">
        <f>IF(A698="","",IFERROR(P698/G698,""))</f>
        <v/>
      </c>
      <c r="R698" s="14">
        <f>IF(OR(A698="",G698=""),"",COUNTIFS($N$2:$N$1000,"&gt;0",$G$2:$G$1000,"&gt;"&amp;G698)+COUNTIFS($N$2:N698,"&gt;0",$G$2:G698,G698))</f>
        <v/>
      </c>
    </row>
    <row r="699">
      <c r="A699" s="9" t="n"/>
      <c r="B699" s="10" t="n"/>
      <c r="C699" s="10" t="n"/>
      <c r="D699" s="10" t="n"/>
      <c r="E699" s="10" t="n"/>
      <c r="F699" s="12" t="n"/>
      <c r="G699" s="13" t="n"/>
      <c r="H699" s="13" t="n"/>
      <c r="I699" s="13" t="n"/>
      <c r="J699" s="13" t="n"/>
      <c r="K699" s="13" t="n"/>
      <c r="L699" s="10" t="n"/>
      <c r="M699" s="10" t="n"/>
      <c r="N699" s="14">
        <f>IF(A699="","",WEEKNUM(A699,2))</f>
        <v/>
      </c>
      <c r="O699" s="15">
        <f>IF(OR(A699="",F699=""),"",LOOKUP(F699,Lists!$F$2:$F$5,Lists!$G$2:$G$5))</f>
        <v/>
      </c>
      <c r="P699" s="16">
        <f>IF(A699="","",SUM(H699:K699))</f>
        <v/>
      </c>
      <c r="Q699" s="17">
        <f>IF(A699="","",IFERROR(P699/G699,""))</f>
        <v/>
      </c>
      <c r="R699" s="14">
        <f>IF(OR(A699="",G699=""),"",COUNTIFS($N$2:$N$1000,"&gt;0",$G$2:$G$1000,"&gt;"&amp;G699)+COUNTIFS($N$2:N699,"&gt;0",$G$2:G699,G699))</f>
        <v/>
      </c>
    </row>
    <row r="700">
      <c r="A700" s="9" t="n"/>
      <c r="B700" s="10" t="n"/>
      <c r="C700" s="10" t="n"/>
      <c r="D700" s="10" t="n"/>
      <c r="E700" s="10" t="n"/>
      <c r="F700" s="12" t="n"/>
      <c r="G700" s="13" t="n"/>
      <c r="H700" s="13" t="n"/>
      <c r="I700" s="13" t="n"/>
      <c r="J700" s="13" t="n"/>
      <c r="K700" s="13" t="n"/>
      <c r="L700" s="10" t="n"/>
      <c r="M700" s="10" t="n"/>
      <c r="N700" s="14">
        <f>IF(A700="","",WEEKNUM(A700,2))</f>
        <v/>
      </c>
      <c r="O700" s="15">
        <f>IF(OR(A700="",F700=""),"",LOOKUP(F700,Lists!$F$2:$F$5,Lists!$G$2:$G$5))</f>
        <v/>
      </c>
      <c r="P700" s="16">
        <f>IF(A700="","",SUM(H700:K700))</f>
        <v/>
      </c>
      <c r="Q700" s="17">
        <f>IF(A700="","",IFERROR(P700/G700,""))</f>
        <v/>
      </c>
      <c r="R700" s="14">
        <f>IF(OR(A700="",G700=""),"",COUNTIFS($N$2:$N$1000,"&gt;0",$G$2:$G$1000,"&gt;"&amp;G700)+COUNTIFS($N$2:N700,"&gt;0",$G$2:G700,G700))</f>
        <v/>
      </c>
    </row>
    <row r="701">
      <c r="A701" s="9" t="n"/>
      <c r="B701" s="10" t="n"/>
      <c r="C701" s="10" t="n"/>
      <c r="D701" s="10" t="n"/>
      <c r="E701" s="10" t="n"/>
      <c r="F701" s="12" t="n"/>
      <c r="G701" s="13" t="n"/>
      <c r="H701" s="13" t="n"/>
      <c r="I701" s="13" t="n"/>
      <c r="J701" s="13" t="n"/>
      <c r="K701" s="13" t="n"/>
      <c r="L701" s="10" t="n"/>
      <c r="M701" s="10" t="n"/>
      <c r="N701" s="14">
        <f>IF(A701="","",WEEKNUM(A701,2))</f>
        <v/>
      </c>
      <c r="O701" s="15">
        <f>IF(OR(A701="",F701=""),"",LOOKUP(F701,Lists!$F$2:$F$5,Lists!$G$2:$G$5))</f>
        <v/>
      </c>
      <c r="P701" s="16">
        <f>IF(A701="","",SUM(H701:K701))</f>
        <v/>
      </c>
      <c r="Q701" s="17">
        <f>IF(A701="","",IFERROR(P701/G701,""))</f>
        <v/>
      </c>
      <c r="R701" s="14">
        <f>IF(OR(A701="",G701=""),"",COUNTIFS($N$2:$N$1000,"&gt;0",$G$2:$G$1000,"&gt;"&amp;G701)+COUNTIFS($N$2:N701,"&gt;0",$G$2:G701,G701))</f>
        <v/>
      </c>
    </row>
    <row r="702">
      <c r="A702" s="9" t="n"/>
      <c r="B702" s="10" t="n"/>
      <c r="C702" s="10" t="n"/>
      <c r="D702" s="10" t="n"/>
      <c r="E702" s="10" t="n"/>
      <c r="F702" s="12" t="n"/>
      <c r="G702" s="13" t="n"/>
      <c r="H702" s="13" t="n"/>
      <c r="I702" s="13" t="n"/>
      <c r="J702" s="13" t="n"/>
      <c r="K702" s="13" t="n"/>
      <c r="L702" s="10" t="n"/>
      <c r="M702" s="10" t="n"/>
      <c r="N702" s="14">
        <f>IF(A702="","",WEEKNUM(A702,2))</f>
        <v/>
      </c>
      <c r="O702" s="15">
        <f>IF(OR(A702="",F702=""),"",LOOKUP(F702,Lists!$F$2:$F$5,Lists!$G$2:$G$5))</f>
        <v/>
      </c>
      <c r="P702" s="16">
        <f>IF(A702="","",SUM(H702:K702))</f>
        <v/>
      </c>
      <c r="Q702" s="17">
        <f>IF(A702="","",IFERROR(P702/G702,""))</f>
        <v/>
      </c>
      <c r="R702" s="14">
        <f>IF(OR(A702="",G702=""),"",COUNTIFS($N$2:$N$1000,"&gt;0",$G$2:$G$1000,"&gt;"&amp;G702)+COUNTIFS($N$2:N702,"&gt;0",$G$2:G702,G702))</f>
        <v/>
      </c>
    </row>
    <row r="703">
      <c r="A703" s="9" t="n"/>
      <c r="B703" s="10" t="n"/>
      <c r="C703" s="10" t="n"/>
      <c r="D703" s="10" t="n"/>
      <c r="E703" s="10" t="n"/>
      <c r="F703" s="12" t="n"/>
      <c r="G703" s="13" t="n"/>
      <c r="H703" s="13" t="n"/>
      <c r="I703" s="13" t="n"/>
      <c r="J703" s="13" t="n"/>
      <c r="K703" s="13" t="n"/>
      <c r="L703" s="10" t="n"/>
      <c r="M703" s="10" t="n"/>
      <c r="N703" s="14">
        <f>IF(A703="","",WEEKNUM(A703,2))</f>
        <v/>
      </c>
      <c r="O703" s="15">
        <f>IF(OR(A703="",F703=""),"",LOOKUP(F703,Lists!$F$2:$F$5,Lists!$G$2:$G$5))</f>
        <v/>
      </c>
      <c r="P703" s="16">
        <f>IF(A703="","",SUM(H703:K703))</f>
        <v/>
      </c>
      <c r="Q703" s="17">
        <f>IF(A703="","",IFERROR(P703/G703,""))</f>
        <v/>
      </c>
      <c r="R703" s="14">
        <f>IF(OR(A703="",G703=""),"",COUNTIFS($N$2:$N$1000,"&gt;0",$G$2:$G$1000,"&gt;"&amp;G703)+COUNTIFS($N$2:N703,"&gt;0",$G$2:G703,G703))</f>
        <v/>
      </c>
    </row>
    <row r="704">
      <c r="A704" s="9" t="n"/>
      <c r="B704" s="10" t="n"/>
      <c r="C704" s="10" t="n"/>
      <c r="D704" s="10" t="n"/>
      <c r="E704" s="10" t="n"/>
      <c r="F704" s="12" t="n"/>
      <c r="G704" s="13" t="n"/>
      <c r="H704" s="13" t="n"/>
      <c r="I704" s="13" t="n"/>
      <c r="J704" s="13" t="n"/>
      <c r="K704" s="13" t="n"/>
      <c r="L704" s="10" t="n"/>
      <c r="M704" s="10" t="n"/>
      <c r="N704" s="14">
        <f>IF(A704="","",WEEKNUM(A704,2))</f>
        <v/>
      </c>
      <c r="O704" s="15">
        <f>IF(OR(A704="",F704=""),"",LOOKUP(F704,Lists!$F$2:$F$5,Lists!$G$2:$G$5))</f>
        <v/>
      </c>
      <c r="P704" s="16">
        <f>IF(A704="","",SUM(H704:K704))</f>
        <v/>
      </c>
      <c r="Q704" s="17">
        <f>IF(A704="","",IFERROR(P704/G704,""))</f>
        <v/>
      </c>
      <c r="R704" s="14">
        <f>IF(OR(A704="",G704=""),"",COUNTIFS($N$2:$N$1000,"&gt;0",$G$2:$G$1000,"&gt;"&amp;G704)+COUNTIFS($N$2:N704,"&gt;0",$G$2:G704,G704))</f>
        <v/>
      </c>
    </row>
    <row r="705">
      <c r="A705" s="9" t="n"/>
      <c r="B705" s="10" t="n"/>
      <c r="C705" s="10" t="n"/>
      <c r="D705" s="10" t="n"/>
      <c r="E705" s="10" t="n"/>
      <c r="F705" s="12" t="n"/>
      <c r="G705" s="13" t="n"/>
      <c r="H705" s="13" t="n"/>
      <c r="I705" s="13" t="n"/>
      <c r="J705" s="13" t="n"/>
      <c r="K705" s="13" t="n"/>
      <c r="L705" s="10" t="n"/>
      <c r="M705" s="10" t="n"/>
      <c r="N705" s="14">
        <f>IF(A705="","",WEEKNUM(A705,2))</f>
        <v/>
      </c>
      <c r="O705" s="15">
        <f>IF(OR(A705="",F705=""),"",LOOKUP(F705,Lists!$F$2:$F$5,Lists!$G$2:$G$5))</f>
        <v/>
      </c>
      <c r="P705" s="16">
        <f>IF(A705="","",SUM(H705:K705))</f>
        <v/>
      </c>
      <c r="Q705" s="17">
        <f>IF(A705="","",IFERROR(P705/G705,""))</f>
        <v/>
      </c>
      <c r="R705" s="14">
        <f>IF(OR(A705="",G705=""),"",COUNTIFS($N$2:$N$1000,"&gt;0",$G$2:$G$1000,"&gt;"&amp;G705)+COUNTIFS($N$2:N705,"&gt;0",$G$2:G705,G705))</f>
        <v/>
      </c>
    </row>
    <row r="706">
      <c r="A706" s="9" t="n"/>
      <c r="B706" s="10" t="n"/>
      <c r="C706" s="10" t="n"/>
      <c r="D706" s="10" t="n"/>
      <c r="E706" s="10" t="n"/>
      <c r="F706" s="12" t="n"/>
      <c r="G706" s="13" t="n"/>
      <c r="H706" s="13" t="n"/>
      <c r="I706" s="13" t="n"/>
      <c r="J706" s="13" t="n"/>
      <c r="K706" s="13" t="n"/>
      <c r="L706" s="10" t="n"/>
      <c r="M706" s="10" t="n"/>
      <c r="N706" s="14">
        <f>IF(A706="","",WEEKNUM(A706,2))</f>
        <v/>
      </c>
      <c r="O706" s="15">
        <f>IF(OR(A706="",F706=""),"",LOOKUP(F706,Lists!$F$2:$F$5,Lists!$G$2:$G$5))</f>
        <v/>
      </c>
      <c r="P706" s="16">
        <f>IF(A706="","",SUM(H706:K706))</f>
        <v/>
      </c>
      <c r="Q706" s="17">
        <f>IF(A706="","",IFERROR(P706/G706,""))</f>
        <v/>
      </c>
      <c r="R706" s="14">
        <f>IF(OR(A706="",G706=""),"",COUNTIFS($N$2:$N$1000,"&gt;0",$G$2:$G$1000,"&gt;"&amp;G706)+COUNTIFS($N$2:N706,"&gt;0",$G$2:G706,G706))</f>
        <v/>
      </c>
    </row>
    <row r="707">
      <c r="A707" s="9" t="n"/>
      <c r="B707" s="10" t="n"/>
      <c r="C707" s="10" t="n"/>
      <c r="D707" s="10" t="n"/>
      <c r="E707" s="10" t="n"/>
      <c r="F707" s="12" t="n"/>
      <c r="G707" s="13" t="n"/>
      <c r="H707" s="13" t="n"/>
      <c r="I707" s="13" t="n"/>
      <c r="J707" s="13" t="n"/>
      <c r="K707" s="13" t="n"/>
      <c r="L707" s="10" t="n"/>
      <c r="M707" s="10" t="n"/>
      <c r="N707" s="14">
        <f>IF(A707="","",WEEKNUM(A707,2))</f>
        <v/>
      </c>
      <c r="O707" s="15">
        <f>IF(OR(A707="",F707=""),"",LOOKUP(F707,Lists!$F$2:$F$5,Lists!$G$2:$G$5))</f>
        <v/>
      </c>
      <c r="P707" s="16">
        <f>IF(A707="","",SUM(H707:K707))</f>
        <v/>
      </c>
      <c r="Q707" s="17">
        <f>IF(A707="","",IFERROR(P707/G707,""))</f>
        <v/>
      </c>
      <c r="R707" s="14">
        <f>IF(OR(A707="",G707=""),"",COUNTIFS($N$2:$N$1000,"&gt;0",$G$2:$G$1000,"&gt;"&amp;G707)+COUNTIFS($N$2:N707,"&gt;0",$G$2:G707,G707))</f>
        <v/>
      </c>
    </row>
    <row r="708">
      <c r="A708" s="9" t="n"/>
      <c r="B708" s="10" t="n"/>
      <c r="C708" s="10" t="n"/>
      <c r="D708" s="10" t="n"/>
      <c r="E708" s="10" t="n"/>
      <c r="F708" s="12" t="n"/>
      <c r="G708" s="13" t="n"/>
      <c r="H708" s="13" t="n"/>
      <c r="I708" s="13" t="n"/>
      <c r="J708" s="13" t="n"/>
      <c r="K708" s="13" t="n"/>
      <c r="L708" s="10" t="n"/>
      <c r="M708" s="10" t="n"/>
      <c r="N708" s="14">
        <f>IF(A708="","",WEEKNUM(A708,2))</f>
        <v/>
      </c>
      <c r="O708" s="15">
        <f>IF(OR(A708="",F708=""),"",LOOKUP(F708,Lists!$F$2:$F$5,Lists!$G$2:$G$5))</f>
        <v/>
      </c>
      <c r="P708" s="16">
        <f>IF(A708="","",SUM(H708:K708))</f>
        <v/>
      </c>
      <c r="Q708" s="17">
        <f>IF(A708="","",IFERROR(P708/G708,""))</f>
        <v/>
      </c>
      <c r="R708" s="14">
        <f>IF(OR(A708="",G708=""),"",COUNTIFS($N$2:$N$1000,"&gt;0",$G$2:$G$1000,"&gt;"&amp;G708)+COUNTIFS($N$2:N708,"&gt;0",$G$2:G708,G708))</f>
        <v/>
      </c>
    </row>
    <row r="709">
      <c r="A709" s="9" t="n"/>
      <c r="B709" s="10" t="n"/>
      <c r="C709" s="10" t="n"/>
      <c r="D709" s="10" t="n"/>
      <c r="E709" s="10" t="n"/>
      <c r="F709" s="12" t="n"/>
      <c r="G709" s="13" t="n"/>
      <c r="H709" s="13" t="n"/>
      <c r="I709" s="13" t="n"/>
      <c r="J709" s="13" t="n"/>
      <c r="K709" s="13" t="n"/>
      <c r="L709" s="10" t="n"/>
      <c r="M709" s="10" t="n"/>
      <c r="N709" s="14">
        <f>IF(A709="","",WEEKNUM(A709,2))</f>
        <v/>
      </c>
      <c r="O709" s="15">
        <f>IF(OR(A709="",F709=""),"",LOOKUP(F709,Lists!$F$2:$F$5,Lists!$G$2:$G$5))</f>
        <v/>
      </c>
      <c r="P709" s="16">
        <f>IF(A709="","",SUM(H709:K709))</f>
        <v/>
      </c>
      <c r="Q709" s="17">
        <f>IF(A709="","",IFERROR(P709/G709,""))</f>
        <v/>
      </c>
      <c r="R709" s="14">
        <f>IF(OR(A709="",G709=""),"",COUNTIFS($N$2:$N$1000,"&gt;0",$G$2:$G$1000,"&gt;"&amp;G709)+COUNTIFS($N$2:N709,"&gt;0",$G$2:G709,G709))</f>
        <v/>
      </c>
    </row>
    <row r="710">
      <c r="A710" s="9" t="n"/>
      <c r="B710" s="10" t="n"/>
      <c r="C710" s="10" t="n"/>
      <c r="D710" s="10" t="n"/>
      <c r="E710" s="10" t="n"/>
      <c r="F710" s="12" t="n"/>
      <c r="G710" s="13" t="n"/>
      <c r="H710" s="13" t="n"/>
      <c r="I710" s="13" t="n"/>
      <c r="J710" s="13" t="n"/>
      <c r="K710" s="13" t="n"/>
      <c r="L710" s="10" t="n"/>
      <c r="M710" s="10" t="n"/>
      <c r="N710" s="14">
        <f>IF(A710="","",WEEKNUM(A710,2))</f>
        <v/>
      </c>
      <c r="O710" s="15">
        <f>IF(OR(A710="",F710=""),"",LOOKUP(F710,Lists!$F$2:$F$5,Lists!$G$2:$G$5))</f>
        <v/>
      </c>
      <c r="P710" s="16">
        <f>IF(A710="","",SUM(H710:K710))</f>
        <v/>
      </c>
      <c r="Q710" s="17">
        <f>IF(A710="","",IFERROR(P710/G710,""))</f>
        <v/>
      </c>
      <c r="R710" s="14">
        <f>IF(OR(A710="",G710=""),"",COUNTIFS($N$2:$N$1000,"&gt;0",$G$2:$G$1000,"&gt;"&amp;G710)+COUNTIFS($N$2:N710,"&gt;0",$G$2:G710,G710))</f>
        <v/>
      </c>
    </row>
    <row r="711">
      <c r="A711" s="9" t="n"/>
      <c r="B711" s="10" t="n"/>
      <c r="C711" s="10" t="n"/>
      <c r="D711" s="10" t="n"/>
      <c r="E711" s="10" t="n"/>
      <c r="F711" s="12" t="n"/>
      <c r="G711" s="13" t="n"/>
      <c r="H711" s="13" t="n"/>
      <c r="I711" s="13" t="n"/>
      <c r="J711" s="13" t="n"/>
      <c r="K711" s="13" t="n"/>
      <c r="L711" s="10" t="n"/>
      <c r="M711" s="10" t="n"/>
      <c r="N711" s="14">
        <f>IF(A711="","",WEEKNUM(A711,2))</f>
        <v/>
      </c>
      <c r="O711" s="15">
        <f>IF(OR(A711="",F711=""),"",LOOKUP(F711,Lists!$F$2:$F$5,Lists!$G$2:$G$5))</f>
        <v/>
      </c>
      <c r="P711" s="16">
        <f>IF(A711="","",SUM(H711:K711))</f>
        <v/>
      </c>
      <c r="Q711" s="17">
        <f>IF(A711="","",IFERROR(P711/G711,""))</f>
        <v/>
      </c>
      <c r="R711" s="14">
        <f>IF(OR(A711="",G711=""),"",COUNTIFS($N$2:$N$1000,"&gt;0",$G$2:$G$1000,"&gt;"&amp;G711)+COUNTIFS($N$2:N711,"&gt;0",$G$2:G711,G711))</f>
        <v/>
      </c>
    </row>
    <row r="712">
      <c r="A712" s="9" t="n"/>
      <c r="B712" s="10" t="n"/>
      <c r="C712" s="10" t="n"/>
      <c r="D712" s="10" t="n"/>
      <c r="E712" s="10" t="n"/>
      <c r="F712" s="12" t="n"/>
      <c r="G712" s="13" t="n"/>
      <c r="H712" s="13" t="n"/>
      <c r="I712" s="13" t="n"/>
      <c r="J712" s="13" t="n"/>
      <c r="K712" s="13" t="n"/>
      <c r="L712" s="10" t="n"/>
      <c r="M712" s="10" t="n"/>
      <c r="N712" s="14">
        <f>IF(A712="","",WEEKNUM(A712,2))</f>
        <v/>
      </c>
      <c r="O712" s="15">
        <f>IF(OR(A712="",F712=""),"",LOOKUP(F712,Lists!$F$2:$F$5,Lists!$G$2:$G$5))</f>
        <v/>
      </c>
      <c r="P712" s="16">
        <f>IF(A712="","",SUM(H712:K712))</f>
        <v/>
      </c>
      <c r="Q712" s="17">
        <f>IF(A712="","",IFERROR(P712/G712,""))</f>
        <v/>
      </c>
      <c r="R712" s="14">
        <f>IF(OR(A712="",G712=""),"",COUNTIFS($N$2:$N$1000,"&gt;0",$G$2:$G$1000,"&gt;"&amp;G712)+COUNTIFS($N$2:N712,"&gt;0",$G$2:G712,G712))</f>
        <v/>
      </c>
    </row>
    <row r="713">
      <c r="A713" s="9" t="n"/>
      <c r="B713" s="10" t="n"/>
      <c r="C713" s="10" t="n"/>
      <c r="D713" s="10" t="n"/>
      <c r="E713" s="10" t="n"/>
      <c r="F713" s="12" t="n"/>
      <c r="G713" s="13" t="n"/>
      <c r="H713" s="13" t="n"/>
      <c r="I713" s="13" t="n"/>
      <c r="J713" s="13" t="n"/>
      <c r="K713" s="13" t="n"/>
      <c r="L713" s="10" t="n"/>
      <c r="M713" s="10" t="n"/>
      <c r="N713" s="14">
        <f>IF(A713="","",WEEKNUM(A713,2))</f>
        <v/>
      </c>
      <c r="O713" s="15">
        <f>IF(OR(A713="",F713=""),"",LOOKUP(F713,Lists!$F$2:$F$5,Lists!$G$2:$G$5))</f>
        <v/>
      </c>
      <c r="P713" s="16">
        <f>IF(A713="","",SUM(H713:K713))</f>
        <v/>
      </c>
      <c r="Q713" s="17">
        <f>IF(A713="","",IFERROR(P713/G713,""))</f>
        <v/>
      </c>
      <c r="R713" s="14">
        <f>IF(OR(A713="",G713=""),"",COUNTIFS($N$2:$N$1000,"&gt;0",$G$2:$G$1000,"&gt;"&amp;G713)+COUNTIFS($N$2:N713,"&gt;0",$G$2:G713,G713))</f>
        <v/>
      </c>
    </row>
    <row r="714">
      <c r="A714" s="9" t="n"/>
      <c r="B714" s="10" t="n"/>
      <c r="C714" s="10" t="n"/>
      <c r="D714" s="10" t="n"/>
      <c r="E714" s="10" t="n"/>
      <c r="F714" s="12" t="n"/>
      <c r="G714" s="13" t="n"/>
      <c r="H714" s="13" t="n"/>
      <c r="I714" s="13" t="n"/>
      <c r="J714" s="13" t="n"/>
      <c r="K714" s="13" t="n"/>
      <c r="L714" s="10" t="n"/>
      <c r="M714" s="10" t="n"/>
      <c r="N714" s="14">
        <f>IF(A714="","",WEEKNUM(A714,2))</f>
        <v/>
      </c>
      <c r="O714" s="15">
        <f>IF(OR(A714="",F714=""),"",LOOKUP(F714,Lists!$F$2:$F$5,Lists!$G$2:$G$5))</f>
        <v/>
      </c>
      <c r="P714" s="16">
        <f>IF(A714="","",SUM(H714:K714))</f>
        <v/>
      </c>
      <c r="Q714" s="17">
        <f>IF(A714="","",IFERROR(P714/G714,""))</f>
        <v/>
      </c>
      <c r="R714" s="14">
        <f>IF(OR(A714="",G714=""),"",COUNTIFS($N$2:$N$1000,"&gt;0",$G$2:$G$1000,"&gt;"&amp;G714)+COUNTIFS($N$2:N714,"&gt;0",$G$2:G714,G714))</f>
        <v/>
      </c>
    </row>
    <row r="715">
      <c r="A715" s="9" t="n"/>
      <c r="B715" s="10" t="n"/>
      <c r="C715" s="10" t="n"/>
      <c r="D715" s="10" t="n"/>
      <c r="E715" s="10" t="n"/>
      <c r="F715" s="12" t="n"/>
      <c r="G715" s="13" t="n"/>
      <c r="H715" s="13" t="n"/>
      <c r="I715" s="13" t="n"/>
      <c r="J715" s="13" t="n"/>
      <c r="K715" s="13" t="n"/>
      <c r="L715" s="10" t="n"/>
      <c r="M715" s="10" t="n"/>
      <c r="N715" s="14">
        <f>IF(A715="","",WEEKNUM(A715,2))</f>
        <v/>
      </c>
      <c r="O715" s="15">
        <f>IF(OR(A715="",F715=""),"",LOOKUP(F715,Lists!$F$2:$F$5,Lists!$G$2:$G$5))</f>
        <v/>
      </c>
      <c r="P715" s="16">
        <f>IF(A715="","",SUM(H715:K715))</f>
        <v/>
      </c>
      <c r="Q715" s="17">
        <f>IF(A715="","",IFERROR(P715/G715,""))</f>
        <v/>
      </c>
      <c r="R715" s="14">
        <f>IF(OR(A715="",G715=""),"",COUNTIFS($N$2:$N$1000,"&gt;0",$G$2:$G$1000,"&gt;"&amp;G715)+COUNTIFS($N$2:N715,"&gt;0",$G$2:G715,G715))</f>
        <v/>
      </c>
    </row>
    <row r="716">
      <c r="A716" s="9" t="n"/>
      <c r="B716" s="10" t="n"/>
      <c r="C716" s="10" t="n"/>
      <c r="D716" s="10" t="n"/>
      <c r="E716" s="10" t="n"/>
      <c r="F716" s="12" t="n"/>
      <c r="G716" s="13" t="n"/>
      <c r="H716" s="13" t="n"/>
      <c r="I716" s="13" t="n"/>
      <c r="J716" s="13" t="n"/>
      <c r="K716" s="13" t="n"/>
      <c r="L716" s="10" t="n"/>
      <c r="M716" s="10" t="n"/>
      <c r="N716" s="14">
        <f>IF(A716="","",WEEKNUM(A716,2))</f>
        <v/>
      </c>
      <c r="O716" s="15">
        <f>IF(OR(A716="",F716=""),"",LOOKUP(F716,Lists!$F$2:$F$5,Lists!$G$2:$G$5))</f>
        <v/>
      </c>
      <c r="P716" s="16">
        <f>IF(A716="","",SUM(H716:K716))</f>
        <v/>
      </c>
      <c r="Q716" s="17">
        <f>IF(A716="","",IFERROR(P716/G716,""))</f>
        <v/>
      </c>
      <c r="R716" s="14">
        <f>IF(OR(A716="",G716=""),"",COUNTIFS($N$2:$N$1000,"&gt;0",$G$2:$G$1000,"&gt;"&amp;G716)+COUNTIFS($N$2:N716,"&gt;0",$G$2:G716,G716))</f>
        <v/>
      </c>
    </row>
    <row r="717">
      <c r="A717" s="9" t="n"/>
      <c r="B717" s="10" t="n"/>
      <c r="C717" s="10" t="n"/>
      <c r="D717" s="10" t="n"/>
      <c r="E717" s="10" t="n"/>
      <c r="F717" s="12" t="n"/>
      <c r="G717" s="13" t="n"/>
      <c r="H717" s="13" t="n"/>
      <c r="I717" s="13" t="n"/>
      <c r="J717" s="13" t="n"/>
      <c r="K717" s="13" t="n"/>
      <c r="L717" s="10" t="n"/>
      <c r="M717" s="10" t="n"/>
      <c r="N717" s="14">
        <f>IF(A717="","",WEEKNUM(A717,2))</f>
        <v/>
      </c>
      <c r="O717" s="15">
        <f>IF(OR(A717="",F717=""),"",LOOKUP(F717,Lists!$F$2:$F$5,Lists!$G$2:$G$5))</f>
        <v/>
      </c>
      <c r="P717" s="16">
        <f>IF(A717="","",SUM(H717:K717))</f>
        <v/>
      </c>
      <c r="Q717" s="17">
        <f>IF(A717="","",IFERROR(P717/G717,""))</f>
        <v/>
      </c>
      <c r="R717" s="14">
        <f>IF(OR(A717="",G717=""),"",COUNTIFS($N$2:$N$1000,"&gt;0",$G$2:$G$1000,"&gt;"&amp;G717)+COUNTIFS($N$2:N717,"&gt;0",$G$2:G717,G717))</f>
        <v/>
      </c>
    </row>
    <row r="718">
      <c r="A718" s="9" t="n"/>
      <c r="B718" s="10" t="n"/>
      <c r="C718" s="10" t="n"/>
      <c r="D718" s="10" t="n"/>
      <c r="E718" s="10" t="n"/>
      <c r="F718" s="12" t="n"/>
      <c r="G718" s="13" t="n"/>
      <c r="H718" s="13" t="n"/>
      <c r="I718" s="13" t="n"/>
      <c r="J718" s="13" t="n"/>
      <c r="K718" s="13" t="n"/>
      <c r="L718" s="10" t="n"/>
      <c r="M718" s="10" t="n"/>
      <c r="N718" s="14">
        <f>IF(A718="","",WEEKNUM(A718,2))</f>
        <v/>
      </c>
      <c r="O718" s="15">
        <f>IF(OR(A718="",F718=""),"",LOOKUP(F718,Lists!$F$2:$F$5,Lists!$G$2:$G$5))</f>
        <v/>
      </c>
      <c r="P718" s="16">
        <f>IF(A718="","",SUM(H718:K718))</f>
        <v/>
      </c>
      <c r="Q718" s="17">
        <f>IF(A718="","",IFERROR(P718/G718,""))</f>
        <v/>
      </c>
      <c r="R718" s="14">
        <f>IF(OR(A718="",G718=""),"",COUNTIFS($N$2:$N$1000,"&gt;0",$G$2:$G$1000,"&gt;"&amp;G718)+COUNTIFS($N$2:N718,"&gt;0",$G$2:G718,G718))</f>
        <v/>
      </c>
    </row>
    <row r="719">
      <c r="A719" s="9" t="n"/>
      <c r="B719" s="10" t="n"/>
      <c r="C719" s="10" t="n"/>
      <c r="D719" s="10" t="n"/>
      <c r="E719" s="10" t="n"/>
      <c r="F719" s="12" t="n"/>
      <c r="G719" s="13" t="n"/>
      <c r="H719" s="13" t="n"/>
      <c r="I719" s="13" t="n"/>
      <c r="J719" s="13" t="n"/>
      <c r="K719" s="13" t="n"/>
      <c r="L719" s="10" t="n"/>
      <c r="M719" s="10" t="n"/>
      <c r="N719" s="14">
        <f>IF(A719="","",WEEKNUM(A719,2))</f>
        <v/>
      </c>
      <c r="O719" s="15">
        <f>IF(OR(A719="",F719=""),"",LOOKUP(F719,Lists!$F$2:$F$5,Lists!$G$2:$G$5))</f>
        <v/>
      </c>
      <c r="P719" s="16">
        <f>IF(A719="","",SUM(H719:K719))</f>
        <v/>
      </c>
      <c r="Q719" s="17">
        <f>IF(A719="","",IFERROR(P719/G719,""))</f>
        <v/>
      </c>
      <c r="R719" s="14">
        <f>IF(OR(A719="",G719=""),"",COUNTIFS($N$2:$N$1000,"&gt;0",$G$2:$G$1000,"&gt;"&amp;G719)+COUNTIFS($N$2:N719,"&gt;0",$G$2:G719,G719))</f>
        <v/>
      </c>
    </row>
    <row r="720">
      <c r="A720" s="9" t="n"/>
      <c r="B720" s="10" t="n"/>
      <c r="C720" s="10" t="n"/>
      <c r="D720" s="10" t="n"/>
      <c r="E720" s="10" t="n"/>
      <c r="F720" s="12" t="n"/>
      <c r="G720" s="13" t="n"/>
      <c r="H720" s="13" t="n"/>
      <c r="I720" s="13" t="n"/>
      <c r="J720" s="13" t="n"/>
      <c r="K720" s="13" t="n"/>
      <c r="L720" s="10" t="n"/>
      <c r="M720" s="10" t="n"/>
      <c r="N720" s="14">
        <f>IF(A720="","",WEEKNUM(A720,2))</f>
        <v/>
      </c>
      <c r="O720" s="15">
        <f>IF(OR(A720="",F720=""),"",LOOKUP(F720,Lists!$F$2:$F$5,Lists!$G$2:$G$5))</f>
        <v/>
      </c>
      <c r="P720" s="16">
        <f>IF(A720="","",SUM(H720:K720))</f>
        <v/>
      </c>
      <c r="Q720" s="17">
        <f>IF(A720="","",IFERROR(P720/G720,""))</f>
        <v/>
      </c>
      <c r="R720" s="14">
        <f>IF(OR(A720="",G720=""),"",COUNTIFS($N$2:$N$1000,"&gt;0",$G$2:$G$1000,"&gt;"&amp;G720)+COUNTIFS($N$2:N720,"&gt;0",$G$2:G720,G720))</f>
        <v/>
      </c>
    </row>
    <row r="721">
      <c r="A721" s="9" t="n"/>
      <c r="B721" s="10" t="n"/>
      <c r="C721" s="10" t="n"/>
      <c r="D721" s="10" t="n"/>
      <c r="E721" s="10" t="n"/>
      <c r="F721" s="12" t="n"/>
      <c r="G721" s="13" t="n"/>
      <c r="H721" s="13" t="n"/>
      <c r="I721" s="13" t="n"/>
      <c r="J721" s="13" t="n"/>
      <c r="K721" s="13" t="n"/>
      <c r="L721" s="10" t="n"/>
      <c r="M721" s="10" t="n"/>
      <c r="N721" s="14">
        <f>IF(A721="","",WEEKNUM(A721,2))</f>
        <v/>
      </c>
      <c r="O721" s="15">
        <f>IF(OR(A721="",F721=""),"",LOOKUP(F721,Lists!$F$2:$F$5,Lists!$G$2:$G$5))</f>
        <v/>
      </c>
      <c r="P721" s="16">
        <f>IF(A721="","",SUM(H721:K721))</f>
        <v/>
      </c>
      <c r="Q721" s="17">
        <f>IF(A721="","",IFERROR(P721/G721,""))</f>
        <v/>
      </c>
      <c r="R721" s="14">
        <f>IF(OR(A721="",G721=""),"",COUNTIFS($N$2:$N$1000,"&gt;0",$G$2:$G$1000,"&gt;"&amp;G721)+COUNTIFS($N$2:N721,"&gt;0",$G$2:G721,G721))</f>
        <v/>
      </c>
    </row>
    <row r="722">
      <c r="A722" s="9" t="n"/>
      <c r="B722" s="10" t="n"/>
      <c r="C722" s="10" t="n"/>
      <c r="D722" s="10" t="n"/>
      <c r="E722" s="10" t="n"/>
      <c r="F722" s="12" t="n"/>
      <c r="G722" s="13" t="n"/>
      <c r="H722" s="13" t="n"/>
      <c r="I722" s="13" t="n"/>
      <c r="J722" s="13" t="n"/>
      <c r="K722" s="13" t="n"/>
      <c r="L722" s="10" t="n"/>
      <c r="M722" s="10" t="n"/>
      <c r="N722" s="14">
        <f>IF(A722="","",WEEKNUM(A722,2))</f>
        <v/>
      </c>
      <c r="O722" s="15">
        <f>IF(OR(A722="",F722=""),"",LOOKUP(F722,Lists!$F$2:$F$5,Lists!$G$2:$G$5))</f>
        <v/>
      </c>
      <c r="P722" s="16">
        <f>IF(A722="","",SUM(H722:K722))</f>
        <v/>
      </c>
      <c r="Q722" s="17">
        <f>IF(A722="","",IFERROR(P722/G722,""))</f>
        <v/>
      </c>
      <c r="R722" s="14">
        <f>IF(OR(A722="",G722=""),"",COUNTIFS($N$2:$N$1000,"&gt;0",$G$2:$G$1000,"&gt;"&amp;G722)+COUNTIFS($N$2:N722,"&gt;0",$G$2:G722,G722))</f>
        <v/>
      </c>
    </row>
    <row r="723">
      <c r="A723" s="9" t="n"/>
      <c r="B723" s="10" t="n"/>
      <c r="C723" s="10" t="n"/>
      <c r="D723" s="10" t="n"/>
      <c r="E723" s="10" t="n"/>
      <c r="F723" s="12" t="n"/>
      <c r="G723" s="13" t="n"/>
      <c r="H723" s="13" t="n"/>
      <c r="I723" s="13" t="n"/>
      <c r="J723" s="13" t="n"/>
      <c r="K723" s="13" t="n"/>
      <c r="L723" s="10" t="n"/>
      <c r="M723" s="10" t="n"/>
      <c r="N723" s="14">
        <f>IF(A723="","",WEEKNUM(A723,2))</f>
        <v/>
      </c>
      <c r="O723" s="15">
        <f>IF(OR(A723="",F723=""),"",LOOKUP(F723,Lists!$F$2:$F$5,Lists!$G$2:$G$5))</f>
        <v/>
      </c>
      <c r="P723" s="16">
        <f>IF(A723="","",SUM(H723:K723))</f>
        <v/>
      </c>
      <c r="Q723" s="17">
        <f>IF(A723="","",IFERROR(P723/G723,""))</f>
        <v/>
      </c>
      <c r="R723" s="14">
        <f>IF(OR(A723="",G723=""),"",COUNTIFS($N$2:$N$1000,"&gt;0",$G$2:$G$1000,"&gt;"&amp;G723)+COUNTIFS($N$2:N723,"&gt;0",$G$2:G723,G723))</f>
        <v/>
      </c>
    </row>
    <row r="724">
      <c r="A724" s="9" t="n"/>
      <c r="B724" s="10" t="n"/>
      <c r="C724" s="10" t="n"/>
      <c r="D724" s="10" t="n"/>
      <c r="E724" s="10" t="n"/>
      <c r="F724" s="12" t="n"/>
      <c r="G724" s="13" t="n"/>
      <c r="H724" s="13" t="n"/>
      <c r="I724" s="13" t="n"/>
      <c r="J724" s="13" t="n"/>
      <c r="K724" s="13" t="n"/>
      <c r="L724" s="10" t="n"/>
      <c r="M724" s="10" t="n"/>
      <c r="N724" s="14">
        <f>IF(A724="","",WEEKNUM(A724,2))</f>
        <v/>
      </c>
      <c r="O724" s="15">
        <f>IF(OR(A724="",F724=""),"",LOOKUP(F724,Lists!$F$2:$F$5,Lists!$G$2:$G$5))</f>
        <v/>
      </c>
      <c r="P724" s="16">
        <f>IF(A724="","",SUM(H724:K724))</f>
        <v/>
      </c>
      <c r="Q724" s="17">
        <f>IF(A724="","",IFERROR(P724/G724,""))</f>
        <v/>
      </c>
      <c r="R724" s="14">
        <f>IF(OR(A724="",G724=""),"",COUNTIFS($N$2:$N$1000,"&gt;0",$G$2:$G$1000,"&gt;"&amp;G724)+COUNTIFS($N$2:N724,"&gt;0",$G$2:G724,G724))</f>
        <v/>
      </c>
    </row>
    <row r="725">
      <c r="A725" s="9" t="n"/>
      <c r="B725" s="10" t="n"/>
      <c r="C725" s="10" t="n"/>
      <c r="D725" s="10" t="n"/>
      <c r="E725" s="10" t="n"/>
      <c r="F725" s="12" t="n"/>
      <c r="G725" s="13" t="n"/>
      <c r="H725" s="13" t="n"/>
      <c r="I725" s="13" t="n"/>
      <c r="J725" s="13" t="n"/>
      <c r="K725" s="13" t="n"/>
      <c r="L725" s="10" t="n"/>
      <c r="M725" s="10" t="n"/>
      <c r="N725" s="14">
        <f>IF(A725="","",WEEKNUM(A725,2))</f>
        <v/>
      </c>
      <c r="O725" s="15">
        <f>IF(OR(A725="",F725=""),"",LOOKUP(F725,Lists!$F$2:$F$5,Lists!$G$2:$G$5))</f>
        <v/>
      </c>
      <c r="P725" s="16">
        <f>IF(A725="","",SUM(H725:K725))</f>
        <v/>
      </c>
      <c r="Q725" s="17">
        <f>IF(A725="","",IFERROR(P725/G725,""))</f>
        <v/>
      </c>
      <c r="R725" s="14">
        <f>IF(OR(A725="",G725=""),"",COUNTIFS($N$2:$N$1000,"&gt;0",$G$2:$G$1000,"&gt;"&amp;G725)+COUNTIFS($N$2:N725,"&gt;0",$G$2:G725,G725))</f>
        <v/>
      </c>
    </row>
    <row r="726">
      <c r="A726" s="9" t="n"/>
      <c r="B726" s="10" t="n"/>
      <c r="C726" s="10" t="n"/>
      <c r="D726" s="10" t="n"/>
      <c r="E726" s="10" t="n"/>
      <c r="F726" s="12" t="n"/>
      <c r="G726" s="13" t="n"/>
      <c r="H726" s="13" t="n"/>
      <c r="I726" s="13" t="n"/>
      <c r="J726" s="13" t="n"/>
      <c r="K726" s="13" t="n"/>
      <c r="L726" s="10" t="n"/>
      <c r="M726" s="10" t="n"/>
      <c r="N726" s="14">
        <f>IF(A726="","",WEEKNUM(A726,2))</f>
        <v/>
      </c>
      <c r="O726" s="15">
        <f>IF(OR(A726="",F726=""),"",LOOKUP(F726,Lists!$F$2:$F$5,Lists!$G$2:$G$5))</f>
        <v/>
      </c>
      <c r="P726" s="16">
        <f>IF(A726="","",SUM(H726:K726))</f>
        <v/>
      </c>
      <c r="Q726" s="17">
        <f>IF(A726="","",IFERROR(P726/G726,""))</f>
        <v/>
      </c>
      <c r="R726" s="14">
        <f>IF(OR(A726="",G726=""),"",COUNTIFS($N$2:$N$1000,"&gt;0",$G$2:$G$1000,"&gt;"&amp;G726)+COUNTIFS($N$2:N726,"&gt;0",$G$2:G726,G726))</f>
        <v/>
      </c>
    </row>
    <row r="727">
      <c r="A727" s="9" t="n"/>
      <c r="B727" s="10" t="n"/>
      <c r="C727" s="10" t="n"/>
      <c r="D727" s="10" t="n"/>
      <c r="E727" s="10" t="n"/>
      <c r="F727" s="12" t="n"/>
      <c r="G727" s="13" t="n"/>
      <c r="H727" s="13" t="n"/>
      <c r="I727" s="13" t="n"/>
      <c r="J727" s="13" t="n"/>
      <c r="K727" s="13" t="n"/>
      <c r="L727" s="10" t="n"/>
      <c r="M727" s="10" t="n"/>
      <c r="N727" s="14">
        <f>IF(A727="","",WEEKNUM(A727,2))</f>
        <v/>
      </c>
      <c r="O727" s="15">
        <f>IF(OR(A727="",F727=""),"",LOOKUP(F727,Lists!$F$2:$F$5,Lists!$G$2:$G$5))</f>
        <v/>
      </c>
      <c r="P727" s="16">
        <f>IF(A727="","",SUM(H727:K727))</f>
        <v/>
      </c>
      <c r="Q727" s="17">
        <f>IF(A727="","",IFERROR(P727/G727,""))</f>
        <v/>
      </c>
      <c r="R727" s="14">
        <f>IF(OR(A727="",G727=""),"",COUNTIFS($N$2:$N$1000,"&gt;0",$G$2:$G$1000,"&gt;"&amp;G727)+COUNTIFS($N$2:N727,"&gt;0",$G$2:G727,G727))</f>
        <v/>
      </c>
    </row>
    <row r="728">
      <c r="A728" s="9" t="n"/>
      <c r="B728" s="10" t="n"/>
      <c r="C728" s="10" t="n"/>
      <c r="D728" s="10" t="n"/>
      <c r="E728" s="10" t="n"/>
      <c r="F728" s="12" t="n"/>
      <c r="G728" s="13" t="n"/>
      <c r="H728" s="13" t="n"/>
      <c r="I728" s="13" t="n"/>
      <c r="J728" s="13" t="n"/>
      <c r="K728" s="13" t="n"/>
      <c r="L728" s="10" t="n"/>
      <c r="M728" s="10" t="n"/>
      <c r="N728" s="14">
        <f>IF(A728="","",WEEKNUM(A728,2))</f>
        <v/>
      </c>
      <c r="O728" s="15">
        <f>IF(OR(A728="",F728=""),"",LOOKUP(F728,Lists!$F$2:$F$5,Lists!$G$2:$G$5))</f>
        <v/>
      </c>
      <c r="P728" s="16">
        <f>IF(A728="","",SUM(H728:K728))</f>
        <v/>
      </c>
      <c r="Q728" s="17">
        <f>IF(A728="","",IFERROR(P728/G728,""))</f>
        <v/>
      </c>
      <c r="R728" s="14">
        <f>IF(OR(A728="",G728=""),"",COUNTIFS($N$2:$N$1000,"&gt;0",$G$2:$G$1000,"&gt;"&amp;G728)+COUNTIFS($N$2:N728,"&gt;0",$G$2:G728,G728))</f>
        <v/>
      </c>
    </row>
    <row r="729">
      <c r="A729" s="9" t="n"/>
      <c r="B729" s="10" t="n"/>
      <c r="C729" s="10" t="n"/>
      <c r="D729" s="10" t="n"/>
      <c r="E729" s="10" t="n"/>
      <c r="F729" s="12" t="n"/>
      <c r="G729" s="13" t="n"/>
      <c r="H729" s="13" t="n"/>
      <c r="I729" s="13" t="n"/>
      <c r="J729" s="13" t="n"/>
      <c r="K729" s="13" t="n"/>
      <c r="L729" s="10" t="n"/>
      <c r="M729" s="10" t="n"/>
      <c r="N729" s="14">
        <f>IF(A729="","",WEEKNUM(A729,2))</f>
        <v/>
      </c>
      <c r="O729" s="15">
        <f>IF(OR(A729="",F729=""),"",LOOKUP(F729,Lists!$F$2:$F$5,Lists!$G$2:$G$5))</f>
        <v/>
      </c>
      <c r="P729" s="16">
        <f>IF(A729="","",SUM(H729:K729))</f>
        <v/>
      </c>
      <c r="Q729" s="17">
        <f>IF(A729="","",IFERROR(P729/G729,""))</f>
        <v/>
      </c>
      <c r="R729" s="14">
        <f>IF(OR(A729="",G729=""),"",COUNTIFS($N$2:$N$1000,"&gt;0",$G$2:$G$1000,"&gt;"&amp;G729)+COUNTIFS($N$2:N729,"&gt;0",$G$2:G729,G729))</f>
        <v/>
      </c>
    </row>
    <row r="730">
      <c r="A730" s="9" t="n"/>
      <c r="B730" s="10" t="n"/>
      <c r="C730" s="10" t="n"/>
      <c r="D730" s="10" t="n"/>
      <c r="E730" s="10" t="n"/>
      <c r="F730" s="12" t="n"/>
      <c r="G730" s="13" t="n"/>
      <c r="H730" s="13" t="n"/>
      <c r="I730" s="13" t="n"/>
      <c r="J730" s="13" t="n"/>
      <c r="K730" s="13" t="n"/>
      <c r="L730" s="10" t="n"/>
      <c r="M730" s="10" t="n"/>
      <c r="N730" s="14">
        <f>IF(A730="","",WEEKNUM(A730,2))</f>
        <v/>
      </c>
      <c r="O730" s="15">
        <f>IF(OR(A730="",F730=""),"",LOOKUP(F730,Lists!$F$2:$F$5,Lists!$G$2:$G$5))</f>
        <v/>
      </c>
      <c r="P730" s="16">
        <f>IF(A730="","",SUM(H730:K730))</f>
        <v/>
      </c>
      <c r="Q730" s="17">
        <f>IF(A730="","",IFERROR(P730/G730,""))</f>
        <v/>
      </c>
      <c r="R730" s="14">
        <f>IF(OR(A730="",G730=""),"",COUNTIFS($N$2:$N$1000,"&gt;0",$G$2:$G$1000,"&gt;"&amp;G730)+COUNTIFS($N$2:N730,"&gt;0",$G$2:G730,G730))</f>
        <v/>
      </c>
    </row>
    <row r="731">
      <c r="A731" s="9" t="n"/>
      <c r="B731" s="10" t="n"/>
      <c r="C731" s="10" t="n"/>
      <c r="D731" s="10" t="n"/>
      <c r="E731" s="10" t="n"/>
      <c r="F731" s="12" t="n"/>
      <c r="G731" s="13" t="n"/>
      <c r="H731" s="13" t="n"/>
      <c r="I731" s="13" t="n"/>
      <c r="J731" s="13" t="n"/>
      <c r="K731" s="13" t="n"/>
      <c r="L731" s="10" t="n"/>
      <c r="M731" s="10" t="n"/>
      <c r="N731" s="14">
        <f>IF(A731="","",WEEKNUM(A731,2))</f>
        <v/>
      </c>
      <c r="O731" s="15">
        <f>IF(OR(A731="",F731=""),"",LOOKUP(F731,Lists!$F$2:$F$5,Lists!$G$2:$G$5))</f>
        <v/>
      </c>
      <c r="P731" s="16">
        <f>IF(A731="","",SUM(H731:K731))</f>
        <v/>
      </c>
      <c r="Q731" s="17">
        <f>IF(A731="","",IFERROR(P731/G731,""))</f>
        <v/>
      </c>
      <c r="R731" s="14">
        <f>IF(OR(A731="",G731=""),"",COUNTIFS($N$2:$N$1000,"&gt;0",$G$2:$G$1000,"&gt;"&amp;G731)+COUNTIFS($N$2:N731,"&gt;0",$G$2:G731,G731))</f>
        <v/>
      </c>
    </row>
    <row r="732">
      <c r="A732" s="9" t="n"/>
      <c r="B732" s="10" t="n"/>
      <c r="C732" s="10" t="n"/>
      <c r="D732" s="10" t="n"/>
      <c r="E732" s="10" t="n"/>
      <c r="F732" s="12" t="n"/>
      <c r="G732" s="13" t="n"/>
      <c r="H732" s="13" t="n"/>
      <c r="I732" s="13" t="n"/>
      <c r="J732" s="13" t="n"/>
      <c r="K732" s="13" t="n"/>
      <c r="L732" s="10" t="n"/>
      <c r="M732" s="10" t="n"/>
      <c r="N732" s="14">
        <f>IF(A732="","",WEEKNUM(A732,2))</f>
        <v/>
      </c>
      <c r="O732" s="15">
        <f>IF(OR(A732="",F732=""),"",LOOKUP(F732,Lists!$F$2:$F$5,Lists!$G$2:$G$5))</f>
        <v/>
      </c>
      <c r="P732" s="16">
        <f>IF(A732="","",SUM(H732:K732))</f>
        <v/>
      </c>
      <c r="Q732" s="17">
        <f>IF(A732="","",IFERROR(P732/G732,""))</f>
        <v/>
      </c>
      <c r="R732" s="14">
        <f>IF(OR(A732="",G732=""),"",COUNTIFS($N$2:$N$1000,"&gt;0",$G$2:$G$1000,"&gt;"&amp;G732)+COUNTIFS($N$2:N732,"&gt;0",$G$2:G732,G732))</f>
        <v/>
      </c>
    </row>
    <row r="733">
      <c r="A733" s="9" t="n"/>
      <c r="B733" s="10" t="n"/>
      <c r="C733" s="10" t="n"/>
      <c r="D733" s="10" t="n"/>
      <c r="E733" s="10" t="n"/>
      <c r="F733" s="12" t="n"/>
      <c r="G733" s="13" t="n"/>
      <c r="H733" s="13" t="n"/>
      <c r="I733" s="13" t="n"/>
      <c r="J733" s="13" t="n"/>
      <c r="K733" s="13" t="n"/>
      <c r="L733" s="10" t="n"/>
      <c r="M733" s="10" t="n"/>
      <c r="N733" s="14">
        <f>IF(A733="","",WEEKNUM(A733,2))</f>
        <v/>
      </c>
      <c r="O733" s="15">
        <f>IF(OR(A733="",F733=""),"",LOOKUP(F733,Lists!$F$2:$F$5,Lists!$G$2:$G$5))</f>
        <v/>
      </c>
      <c r="P733" s="16">
        <f>IF(A733="","",SUM(H733:K733))</f>
        <v/>
      </c>
      <c r="Q733" s="17">
        <f>IF(A733="","",IFERROR(P733/G733,""))</f>
        <v/>
      </c>
      <c r="R733" s="14">
        <f>IF(OR(A733="",G733=""),"",COUNTIFS($N$2:$N$1000,"&gt;0",$G$2:$G$1000,"&gt;"&amp;G733)+COUNTIFS($N$2:N733,"&gt;0",$G$2:G733,G733))</f>
        <v/>
      </c>
    </row>
    <row r="734">
      <c r="A734" s="9" t="n"/>
      <c r="B734" s="10" t="n"/>
      <c r="C734" s="10" t="n"/>
      <c r="D734" s="10" t="n"/>
      <c r="E734" s="10" t="n"/>
      <c r="F734" s="12" t="n"/>
      <c r="G734" s="13" t="n"/>
      <c r="H734" s="13" t="n"/>
      <c r="I734" s="13" t="n"/>
      <c r="J734" s="13" t="n"/>
      <c r="K734" s="13" t="n"/>
      <c r="L734" s="10" t="n"/>
      <c r="M734" s="10" t="n"/>
      <c r="N734" s="14">
        <f>IF(A734="","",WEEKNUM(A734,2))</f>
        <v/>
      </c>
      <c r="O734" s="15">
        <f>IF(OR(A734="",F734=""),"",LOOKUP(F734,Lists!$F$2:$F$5,Lists!$G$2:$G$5))</f>
        <v/>
      </c>
      <c r="P734" s="16">
        <f>IF(A734="","",SUM(H734:K734))</f>
        <v/>
      </c>
      <c r="Q734" s="17">
        <f>IF(A734="","",IFERROR(P734/G734,""))</f>
        <v/>
      </c>
      <c r="R734" s="14">
        <f>IF(OR(A734="",G734=""),"",COUNTIFS($N$2:$N$1000,"&gt;0",$G$2:$G$1000,"&gt;"&amp;G734)+COUNTIFS($N$2:N734,"&gt;0",$G$2:G734,G734))</f>
        <v/>
      </c>
    </row>
    <row r="735">
      <c r="A735" s="9" t="n"/>
      <c r="B735" s="10" t="n"/>
      <c r="C735" s="10" t="n"/>
      <c r="D735" s="10" t="n"/>
      <c r="E735" s="10" t="n"/>
      <c r="F735" s="12" t="n"/>
      <c r="G735" s="13" t="n"/>
      <c r="H735" s="13" t="n"/>
      <c r="I735" s="13" t="n"/>
      <c r="J735" s="13" t="n"/>
      <c r="K735" s="13" t="n"/>
      <c r="L735" s="10" t="n"/>
      <c r="M735" s="10" t="n"/>
      <c r="N735" s="14">
        <f>IF(A735="","",WEEKNUM(A735,2))</f>
        <v/>
      </c>
      <c r="O735" s="15">
        <f>IF(OR(A735="",F735=""),"",LOOKUP(F735,Lists!$F$2:$F$5,Lists!$G$2:$G$5))</f>
        <v/>
      </c>
      <c r="P735" s="16">
        <f>IF(A735="","",SUM(H735:K735))</f>
        <v/>
      </c>
      <c r="Q735" s="17">
        <f>IF(A735="","",IFERROR(P735/G735,""))</f>
        <v/>
      </c>
      <c r="R735" s="14">
        <f>IF(OR(A735="",G735=""),"",COUNTIFS($N$2:$N$1000,"&gt;0",$G$2:$G$1000,"&gt;"&amp;G735)+COUNTIFS($N$2:N735,"&gt;0",$G$2:G735,G735))</f>
        <v/>
      </c>
    </row>
    <row r="736">
      <c r="A736" s="9" t="n"/>
      <c r="B736" s="10" t="n"/>
      <c r="C736" s="10" t="n"/>
      <c r="D736" s="10" t="n"/>
      <c r="E736" s="10" t="n"/>
      <c r="F736" s="12" t="n"/>
      <c r="G736" s="13" t="n"/>
      <c r="H736" s="13" t="n"/>
      <c r="I736" s="13" t="n"/>
      <c r="J736" s="13" t="n"/>
      <c r="K736" s="13" t="n"/>
      <c r="L736" s="10" t="n"/>
      <c r="M736" s="10" t="n"/>
      <c r="N736" s="14">
        <f>IF(A736="","",WEEKNUM(A736,2))</f>
        <v/>
      </c>
      <c r="O736" s="15">
        <f>IF(OR(A736="",F736=""),"",LOOKUP(F736,Lists!$F$2:$F$5,Lists!$G$2:$G$5))</f>
        <v/>
      </c>
      <c r="P736" s="16">
        <f>IF(A736="","",SUM(H736:K736))</f>
        <v/>
      </c>
      <c r="Q736" s="17">
        <f>IF(A736="","",IFERROR(P736/G736,""))</f>
        <v/>
      </c>
      <c r="R736" s="14">
        <f>IF(OR(A736="",G736=""),"",COUNTIFS($N$2:$N$1000,"&gt;0",$G$2:$G$1000,"&gt;"&amp;G736)+COUNTIFS($N$2:N736,"&gt;0",$G$2:G736,G736))</f>
        <v/>
      </c>
    </row>
    <row r="737">
      <c r="A737" s="9" t="n"/>
      <c r="B737" s="10" t="n"/>
      <c r="C737" s="10" t="n"/>
      <c r="D737" s="10" t="n"/>
      <c r="E737" s="10" t="n"/>
      <c r="F737" s="12" t="n"/>
      <c r="G737" s="13" t="n"/>
      <c r="H737" s="13" t="n"/>
      <c r="I737" s="13" t="n"/>
      <c r="J737" s="13" t="n"/>
      <c r="K737" s="13" t="n"/>
      <c r="L737" s="10" t="n"/>
      <c r="M737" s="10" t="n"/>
      <c r="N737" s="14">
        <f>IF(A737="","",WEEKNUM(A737,2))</f>
        <v/>
      </c>
      <c r="O737" s="15">
        <f>IF(OR(A737="",F737=""),"",LOOKUP(F737,Lists!$F$2:$F$5,Lists!$G$2:$G$5))</f>
        <v/>
      </c>
      <c r="P737" s="16">
        <f>IF(A737="","",SUM(H737:K737))</f>
        <v/>
      </c>
      <c r="Q737" s="17">
        <f>IF(A737="","",IFERROR(P737/G737,""))</f>
        <v/>
      </c>
      <c r="R737" s="14">
        <f>IF(OR(A737="",G737=""),"",COUNTIFS($N$2:$N$1000,"&gt;0",$G$2:$G$1000,"&gt;"&amp;G737)+COUNTIFS($N$2:N737,"&gt;0",$G$2:G737,G737))</f>
        <v/>
      </c>
    </row>
    <row r="738">
      <c r="A738" s="9" t="n"/>
      <c r="B738" s="10" t="n"/>
      <c r="C738" s="10" t="n"/>
      <c r="D738" s="10" t="n"/>
      <c r="E738" s="10" t="n"/>
      <c r="F738" s="12" t="n"/>
      <c r="G738" s="13" t="n"/>
      <c r="H738" s="13" t="n"/>
      <c r="I738" s="13" t="n"/>
      <c r="J738" s="13" t="n"/>
      <c r="K738" s="13" t="n"/>
      <c r="L738" s="10" t="n"/>
      <c r="M738" s="10" t="n"/>
      <c r="N738" s="14">
        <f>IF(A738="","",WEEKNUM(A738,2))</f>
        <v/>
      </c>
      <c r="O738" s="15">
        <f>IF(OR(A738="",F738=""),"",LOOKUP(F738,Lists!$F$2:$F$5,Lists!$G$2:$G$5))</f>
        <v/>
      </c>
      <c r="P738" s="16">
        <f>IF(A738="","",SUM(H738:K738))</f>
        <v/>
      </c>
      <c r="Q738" s="17">
        <f>IF(A738="","",IFERROR(P738/G738,""))</f>
        <v/>
      </c>
      <c r="R738" s="14">
        <f>IF(OR(A738="",G738=""),"",COUNTIFS($N$2:$N$1000,"&gt;0",$G$2:$G$1000,"&gt;"&amp;G738)+COUNTIFS($N$2:N738,"&gt;0",$G$2:G738,G738))</f>
        <v/>
      </c>
    </row>
    <row r="739">
      <c r="A739" s="9" t="n"/>
      <c r="B739" s="10" t="n"/>
      <c r="C739" s="10" t="n"/>
      <c r="D739" s="10" t="n"/>
      <c r="E739" s="10" t="n"/>
      <c r="F739" s="12" t="n"/>
      <c r="G739" s="13" t="n"/>
      <c r="H739" s="13" t="n"/>
      <c r="I739" s="13" t="n"/>
      <c r="J739" s="13" t="n"/>
      <c r="K739" s="13" t="n"/>
      <c r="L739" s="10" t="n"/>
      <c r="M739" s="10" t="n"/>
      <c r="N739" s="14">
        <f>IF(A739="","",WEEKNUM(A739,2))</f>
        <v/>
      </c>
      <c r="O739" s="15">
        <f>IF(OR(A739="",F739=""),"",LOOKUP(F739,Lists!$F$2:$F$5,Lists!$G$2:$G$5))</f>
        <v/>
      </c>
      <c r="P739" s="16">
        <f>IF(A739="","",SUM(H739:K739))</f>
        <v/>
      </c>
      <c r="Q739" s="17">
        <f>IF(A739="","",IFERROR(P739/G739,""))</f>
        <v/>
      </c>
      <c r="R739" s="14">
        <f>IF(OR(A739="",G739=""),"",COUNTIFS($N$2:$N$1000,"&gt;0",$G$2:$G$1000,"&gt;"&amp;G739)+COUNTIFS($N$2:N739,"&gt;0",$G$2:G739,G739))</f>
        <v/>
      </c>
    </row>
    <row r="740">
      <c r="A740" s="9" t="n"/>
      <c r="B740" s="10" t="n"/>
      <c r="C740" s="10" t="n"/>
      <c r="D740" s="10" t="n"/>
      <c r="E740" s="10" t="n"/>
      <c r="F740" s="12" t="n"/>
      <c r="G740" s="13" t="n"/>
      <c r="H740" s="13" t="n"/>
      <c r="I740" s="13" t="n"/>
      <c r="J740" s="13" t="n"/>
      <c r="K740" s="13" t="n"/>
      <c r="L740" s="10" t="n"/>
      <c r="M740" s="10" t="n"/>
      <c r="N740" s="14">
        <f>IF(A740="","",WEEKNUM(A740,2))</f>
        <v/>
      </c>
      <c r="O740" s="15">
        <f>IF(OR(A740="",F740=""),"",LOOKUP(F740,Lists!$F$2:$F$5,Lists!$G$2:$G$5))</f>
        <v/>
      </c>
      <c r="P740" s="16">
        <f>IF(A740="","",SUM(H740:K740))</f>
        <v/>
      </c>
      <c r="Q740" s="17">
        <f>IF(A740="","",IFERROR(P740/G740,""))</f>
        <v/>
      </c>
      <c r="R740" s="14">
        <f>IF(OR(A740="",G740=""),"",COUNTIFS($N$2:$N$1000,"&gt;0",$G$2:$G$1000,"&gt;"&amp;G740)+COUNTIFS($N$2:N740,"&gt;0",$G$2:G740,G740))</f>
        <v/>
      </c>
    </row>
    <row r="741">
      <c r="A741" s="9" t="n"/>
      <c r="B741" s="10" t="n"/>
      <c r="C741" s="10" t="n"/>
      <c r="D741" s="10" t="n"/>
      <c r="E741" s="10" t="n"/>
      <c r="F741" s="12" t="n"/>
      <c r="G741" s="13" t="n"/>
      <c r="H741" s="13" t="n"/>
      <c r="I741" s="13" t="n"/>
      <c r="J741" s="13" t="n"/>
      <c r="K741" s="13" t="n"/>
      <c r="L741" s="10" t="n"/>
      <c r="M741" s="10" t="n"/>
      <c r="N741" s="14">
        <f>IF(A741="","",WEEKNUM(A741,2))</f>
        <v/>
      </c>
      <c r="O741" s="15">
        <f>IF(OR(A741="",F741=""),"",LOOKUP(F741,Lists!$F$2:$F$5,Lists!$G$2:$G$5))</f>
        <v/>
      </c>
      <c r="P741" s="16">
        <f>IF(A741="","",SUM(H741:K741))</f>
        <v/>
      </c>
      <c r="Q741" s="17">
        <f>IF(A741="","",IFERROR(P741/G741,""))</f>
        <v/>
      </c>
      <c r="R741" s="14">
        <f>IF(OR(A741="",G741=""),"",COUNTIFS($N$2:$N$1000,"&gt;0",$G$2:$G$1000,"&gt;"&amp;G741)+COUNTIFS($N$2:N741,"&gt;0",$G$2:G741,G741))</f>
        <v/>
      </c>
    </row>
    <row r="742">
      <c r="A742" s="9" t="n"/>
      <c r="B742" s="10" t="n"/>
      <c r="C742" s="10" t="n"/>
      <c r="D742" s="10" t="n"/>
      <c r="E742" s="10" t="n"/>
      <c r="F742" s="12" t="n"/>
      <c r="G742" s="13" t="n"/>
      <c r="H742" s="13" t="n"/>
      <c r="I742" s="13" t="n"/>
      <c r="J742" s="13" t="n"/>
      <c r="K742" s="13" t="n"/>
      <c r="L742" s="10" t="n"/>
      <c r="M742" s="10" t="n"/>
      <c r="N742" s="14">
        <f>IF(A742="","",WEEKNUM(A742,2))</f>
        <v/>
      </c>
      <c r="O742" s="15">
        <f>IF(OR(A742="",F742=""),"",LOOKUP(F742,Lists!$F$2:$F$5,Lists!$G$2:$G$5))</f>
        <v/>
      </c>
      <c r="P742" s="16">
        <f>IF(A742="","",SUM(H742:K742))</f>
        <v/>
      </c>
      <c r="Q742" s="17">
        <f>IF(A742="","",IFERROR(P742/G742,""))</f>
        <v/>
      </c>
      <c r="R742" s="14">
        <f>IF(OR(A742="",G742=""),"",COUNTIFS($N$2:$N$1000,"&gt;0",$G$2:$G$1000,"&gt;"&amp;G742)+COUNTIFS($N$2:N742,"&gt;0",$G$2:G742,G742))</f>
        <v/>
      </c>
    </row>
    <row r="743">
      <c r="A743" s="9" t="n"/>
      <c r="B743" s="10" t="n"/>
      <c r="C743" s="10" t="n"/>
      <c r="D743" s="10" t="n"/>
      <c r="E743" s="10" t="n"/>
      <c r="F743" s="12" t="n"/>
      <c r="G743" s="13" t="n"/>
      <c r="H743" s="13" t="n"/>
      <c r="I743" s="13" t="n"/>
      <c r="J743" s="13" t="n"/>
      <c r="K743" s="13" t="n"/>
      <c r="L743" s="10" t="n"/>
      <c r="M743" s="10" t="n"/>
      <c r="N743" s="14">
        <f>IF(A743="","",WEEKNUM(A743,2))</f>
        <v/>
      </c>
      <c r="O743" s="15">
        <f>IF(OR(A743="",F743=""),"",LOOKUP(F743,Lists!$F$2:$F$5,Lists!$G$2:$G$5))</f>
        <v/>
      </c>
      <c r="P743" s="16">
        <f>IF(A743="","",SUM(H743:K743))</f>
        <v/>
      </c>
      <c r="Q743" s="17">
        <f>IF(A743="","",IFERROR(P743/G743,""))</f>
        <v/>
      </c>
      <c r="R743" s="14">
        <f>IF(OR(A743="",G743=""),"",COUNTIFS($N$2:$N$1000,"&gt;0",$G$2:$G$1000,"&gt;"&amp;G743)+COUNTIFS($N$2:N743,"&gt;0",$G$2:G743,G743))</f>
        <v/>
      </c>
    </row>
    <row r="744">
      <c r="A744" s="9" t="n"/>
      <c r="B744" s="10" t="n"/>
      <c r="C744" s="10" t="n"/>
      <c r="D744" s="10" t="n"/>
      <c r="E744" s="10" t="n"/>
      <c r="F744" s="12" t="n"/>
      <c r="G744" s="13" t="n"/>
      <c r="H744" s="13" t="n"/>
      <c r="I744" s="13" t="n"/>
      <c r="J744" s="13" t="n"/>
      <c r="K744" s="13" t="n"/>
      <c r="L744" s="10" t="n"/>
      <c r="M744" s="10" t="n"/>
      <c r="N744" s="14">
        <f>IF(A744="","",WEEKNUM(A744,2))</f>
        <v/>
      </c>
      <c r="O744" s="15">
        <f>IF(OR(A744="",F744=""),"",LOOKUP(F744,Lists!$F$2:$F$5,Lists!$G$2:$G$5))</f>
        <v/>
      </c>
      <c r="P744" s="16">
        <f>IF(A744="","",SUM(H744:K744))</f>
        <v/>
      </c>
      <c r="Q744" s="17">
        <f>IF(A744="","",IFERROR(P744/G744,""))</f>
        <v/>
      </c>
      <c r="R744" s="14">
        <f>IF(OR(A744="",G744=""),"",COUNTIFS($N$2:$N$1000,"&gt;0",$G$2:$G$1000,"&gt;"&amp;G744)+COUNTIFS($N$2:N744,"&gt;0",$G$2:G744,G744))</f>
        <v/>
      </c>
    </row>
    <row r="745">
      <c r="A745" s="9" t="n"/>
      <c r="B745" s="10" t="n"/>
      <c r="C745" s="10" t="n"/>
      <c r="D745" s="10" t="n"/>
      <c r="E745" s="10" t="n"/>
      <c r="F745" s="12" t="n"/>
      <c r="G745" s="13" t="n"/>
      <c r="H745" s="13" t="n"/>
      <c r="I745" s="13" t="n"/>
      <c r="J745" s="13" t="n"/>
      <c r="K745" s="13" t="n"/>
      <c r="L745" s="10" t="n"/>
      <c r="M745" s="10" t="n"/>
      <c r="N745" s="14">
        <f>IF(A745="","",WEEKNUM(A745,2))</f>
        <v/>
      </c>
      <c r="O745" s="15">
        <f>IF(OR(A745="",F745=""),"",LOOKUP(F745,Lists!$F$2:$F$5,Lists!$G$2:$G$5))</f>
        <v/>
      </c>
      <c r="P745" s="16">
        <f>IF(A745="","",SUM(H745:K745))</f>
        <v/>
      </c>
      <c r="Q745" s="17">
        <f>IF(A745="","",IFERROR(P745/G745,""))</f>
        <v/>
      </c>
      <c r="R745" s="14">
        <f>IF(OR(A745="",G745=""),"",COUNTIFS($N$2:$N$1000,"&gt;0",$G$2:$G$1000,"&gt;"&amp;G745)+COUNTIFS($N$2:N745,"&gt;0",$G$2:G745,G745))</f>
        <v/>
      </c>
    </row>
    <row r="746">
      <c r="A746" s="9" t="n"/>
      <c r="B746" s="10" t="n"/>
      <c r="C746" s="10" t="n"/>
      <c r="D746" s="10" t="n"/>
      <c r="E746" s="10" t="n"/>
      <c r="F746" s="12" t="n"/>
      <c r="G746" s="13" t="n"/>
      <c r="H746" s="13" t="n"/>
      <c r="I746" s="13" t="n"/>
      <c r="J746" s="13" t="n"/>
      <c r="K746" s="13" t="n"/>
      <c r="L746" s="10" t="n"/>
      <c r="M746" s="10" t="n"/>
      <c r="N746" s="14">
        <f>IF(A746="","",WEEKNUM(A746,2))</f>
        <v/>
      </c>
      <c r="O746" s="15">
        <f>IF(OR(A746="",F746=""),"",LOOKUP(F746,Lists!$F$2:$F$5,Lists!$G$2:$G$5))</f>
        <v/>
      </c>
      <c r="P746" s="16">
        <f>IF(A746="","",SUM(H746:K746))</f>
        <v/>
      </c>
      <c r="Q746" s="17">
        <f>IF(A746="","",IFERROR(P746/G746,""))</f>
        <v/>
      </c>
      <c r="R746" s="14">
        <f>IF(OR(A746="",G746=""),"",COUNTIFS($N$2:$N$1000,"&gt;0",$G$2:$G$1000,"&gt;"&amp;G746)+COUNTIFS($N$2:N746,"&gt;0",$G$2:G746,G746))</f>
        <v/>
      </c>
    </row>
    <row r="747">
      <c r="A747" s="9" t="n"/>
      <c r="B747" s="10" t="n"/>
      <c r="C747" s="10" t="n"/>
      <c r="D747" s="10" t="n"/>
      <c r="E747" s="10" t="n"/>
      <c r="F747" s="12" t="n"/>
      <c r="G747" s="13" t="n"/>
      <c r="H747" s="13" t="n"/>
      <c r="I747" s="13" t="n"/>
      <c r="J747" s="13" t="n"/>
      <c r="K747" s="13" t="n"/>
      <c r="L747" s="10" t="n"/>
      <c r="M747" s="10" t="n"/>
      <c r="N747" s="14">
        <f>IF(A747="","",WEEKNUM(A747,2))</f>
        <v/>
      </c>
      <c r="O747" s="15">
        <f>IF(OR(A747="",F747=""),"",LOOKUP(F747,Lists!$F$2:$F$5,Lists!$G$2:$G$5))</f>
        <v/>
      </c>
      <c r="P747" s="16">
        <f>IF(A747="","",SUM(H747:K747))</f>
        <v/>
      </c>
      <c r="Q747" s="17">
        <f>IF(A747="","",IFERROR(P747/G747,""))</f>
        <v/>
      </c>
      <c r="R747" s="14">
        <f>IF(OR(A747="",G747=""),"",COUNTIFS($N$2:$N$1000,"&gt;0",$G$2:$G$1000,"&gt;"&amp;G747)+COUNTIFS($N$2:N747,"&gt;0",$G$2:G747,G747))</f>
        <v/>
      </c>
    </row>
    <row r="748">
      <c r="A748" s="9" t="n"/>
      <c r="B748" s="10" t="n"/>
      <c r="C748" s="10" t="n"/>
      <c r="D748" s="10" t="n"/>
      <c r="E748" s="10" t="n"/>
      <c r="F748" s="12" t="n"/>
      <c r="G748" s="13" t="n"/>
      <c r="H748" s="13" t="n"/>
      <c r="I748" s="13" t="n"/>
      <c r="J748" s="13" t="n"/>
      <c r="K748" s="13" t="n"/>
      <c r="L748" s="10" t="n"/>
      <c r="M748" s="10" t="n"/>
      <c r="N748" s="14">
        <f>IF(A748="","",WEEKNUM(A748,2))</f>
        <v/>
      </c>
      <c r="O748" s="15">
        <f>IF(OR(A748="",F748=""),"",LOOKUP(F748,Lists!$F$2:$F$5,Lists!$G$2:$G$5))</f>
        <v/>
      </c>
      <c r="P748" s="16">
        <f>IF(A748="","",SUM(H748:K748))</f>
        <v/>
      </c>
      <c r="Q748" s="17">
        <f>IF(A748="","",IFERROR(P748/G748,""))</f>
        <v/>
      </c>
      <c r="R748" s="14">
        <f>IF(OR(A748="",G748=""),"",COUNTIFS($N$2:$N$1000,"&gt;0",$G$2:$G$1000,"&gt;"&amp;G748)+COUNTIFS($N$2:N748,"&gt;0",$G$2:G748,G748))</f>
        <v/>
      </c>
    </row>
    <row r="749">
      <c r="A749" s="9" t="n"/>
      <c r="B749" s="10" t="n"/>
      <c r="C749" s="10" t="n"/>
      <c r="D749" s="10" t="n"/>
      <c r="E749" s="10" t="n"/>
      <c r="F749" s="12" t="n"/>
      <c r="G749" s="13" t="n"/>
      <c r="H749" s="13" t="n"/>
      <c r="I749" s="13" t="n"/>
      <c r="J749" s="13" t="n"/>
      <c r="K749" s="13" t="n"/>
      <c r="L749" s="10" t="n"/>
      <c r="M749" s="10" t="n"/>
      <c r="N749" s="14">
        <f>IF(A749="","",WEEKNUM(A749,2))</f>
        <v/>
      </c>
      <c r="O749" s="15">
        <f>IF(OR(A749="",F749=""),"",LOOKUP(F749,Lists!$F$2:$F$5,Lists!$G$2:$G$5))</f>
        <v/>
      </c>
      <c r="P749" s="16">
        <f>IF(A749="","",SUM(H749:K749))</f>
        <v/>
      </c>
      <c r="Q749" s="17">
        <f>IF(A749="","",IFERROR(P749/G749,""))</f>
        <v/>
      </c>
      <c r="R749" s="14">
        <f>IF(OR(A749="",G749=""),"",COUNTIFS($N$2:$N$1000,"&gt;0",$G$2:$G$1000,"&gt;"&amp;G749)+COUNTIFS($N$2:N749,"&gt;0",$G$2:G749,G749))</f>
        <v/>
      </c>
    </row>
    <row r="750">
      <c r="A750" s="9" t="n"/>
      <c r="B750" s="10" t="n"/>
      <c r="C750" s="10" t="n"/>
      <c r="D750" s="10" t="n"/>
      <c r="E750" s="10" t="n"/>
      <c r="F750" s="12" t="n"/>
      <c r="G750" s="13" t="n"/>
      <c r="H750" s="13" t="n"/>
      <c r="I750" s="13" t="n"/>
      <c r="J750" s="13" t="n"/>
      <c r="K750" s="13" t="n"/>
      <c r="L750" s="10" t="n"/>
      <c r="M750" s="10" t="n"/>
      <c r="N750" s="14">
        <f>IF(A750="","",WEEKNUM(A750,2))</f>
        <v/>
      </c>
      <c r="O750" s="15">
        <f>IF(OR(A750="",F750=""),"",LOOKUP(F750,Lists!$F$2:$F$5,Lists!$G$2:$G$5))</f>
        <v/>
      </c>
      <c r="P750" s="16">
        <f>IF(A750="","",SUM(H750:K750))</f>
        <v/>
      </c>
      <c r="Q750" s="17">
        <f>IF(A750="","",IFERROR(P750/G750,""))</f>
        <v/>
      </c>
      <c r="R750" s="14">
        <f>IF(OR(A750="",G750=""),"",COUNTIFS($N$2:$N$1000,"&gt;0",$G$2:$G$1000,"&gt;"&amp;G750)+COUNTIFS($N$2:N750,"&gt;0",$G$2:G750,G750))</f>
        <v/>
      </c>
    </row>
    <row r="751">
      <c r="A751" s="9" t="n"/>
      <c r="B751" s="10" t="n"/>
      <c r="C751" s="10" t="n"/>
      <c r="D751" s="10" t="n"/>
      <c r="E751" s="10" t="n"/>
      <c r="F751" s="12" t="n"/>
      <c r="G751" s="13" t="n"/>
      <c r="H751" s="13" t="n"/>
      <c r="I751" s="13" t="n"/>
      <c r="J751" s="13" t="n"/>
      <c r="K751" s="13" t="n"/>
      <c r="L751" s="10" t="n"/>
      <c r="M751" s="10" t="n"/>
      <c r="N751" s="14">
        <f>IF(A751="","",WEEKNUM(A751,2))</f>
        <v/>
      </c>
      <c r="O751" s="15">
        <f>IF(OR(A751="",F751=""),"",LOOKUP(F751,Lists!$F$2:$F$5,Lists!$G$2:$G$5))</f>
        <v/>
      </c>
      <c r="P751" s="16">
        <f>IF(A751="","",SUM(H751:K751))</f>
        <v/>
      </c>
      <c r="Q751" s="17">
        <f>IF(A751="","",IFERROR(P751/G751,""))</f>
        <v/>
      </c>
      <c r="R751" s="14">
        <f>IF(OR(A751="",G751=""),"",COUNTIFS($N$2:$N$1000,"&gt;0",$G$2:$G$1000,"&gt;"&amp;G751)+COUNTIFS($N$2:N751,"&gt;0",$G$2:G751,G751))</f>
        <v/>
      </c>
    </row>
    <row r="752">
      <c r="A752" s="9" t="n"/>
      <c r="B752" s="10" t="n"/>
      <c r="C752" s="10" t="n"/>
      <c r="D752" s="10" t="n"/>
      <c r="E752" s="10" t="n"/>
      <c r="F752" s="12" t="n"/>
      <c r="G752" s="13" t="n"/>
      <c r="H752" s="13" t="n"/>
      <c r="I752" s="13" t="n"/>
      <c r="J752" s="13" t="n"/>
      <c r="K752" s="13" t="n"/>
      <c r="L752" s="10" t="n"/>
      <c r="M752" s="10" t="n"/>
      <c r="N752" s="14">
        <f>IF(A752="","",WEEKNUM(A752,2))</f>
        <v/>
      </c>
      <c r="O752" s="15">
        <f>IF(OR(A752="",F752=""),"",LOOKUP(F752,Lists!$F$2:$F$5,Lists!$G$2:$G$5))</f>
        <v/>
      </c>
      <c r="P752" s="16">
        <f>IF(A752="","",SUM(H752:K752))</f>
        <v/>
      </c>
      <c r="Q752" s="17">
        <f>IF(A752="","",IFERROR(P752/G752,""))</f>
        <v/>
      </c>
      <c r="R752" s="14">
        <f>IF(OR(A752="",G752=""),"",COUNTIFS($N$2:$N$1000,"&gt;0",$G$2:$G$1000,"&gt;"&amp;G752)+COUNTIFS($N$2:N752,"&gt;0",$G$2:G752,G752))</f>
        <v/>
      </c>
    </row>
    <row r="753">
      <c r="A753" s="9" t="n"/>
      <c r="B753" s="10" t="n"/>
      <c r="C753" s="10" t="n"/>
      <c r="D753" s="10" t="n"/>
      <c r="E753" s="10" t="n"/>
      <c r="F753" s="12" t="n"/>
      <c r="G753" s="13" t="n"/>
      <c r="H753" s="13" t="n"/>
      <c r="I753" s="13" t="n"/>
      <c r="J753" s="13" t="n"/>
      <c r="K753" s="13" t="n"/>
      <c r="L753" s="10" t="n"/>
      <c r="M753" s="10" t="n"/>
      <c r="N753" s="14">
        <f>IF(A753="","",WEEKNUM(A753,2))</f>
        <v/>
      </c>
      <c r="O753" s="15">
        <f>IF(OR(A753="",F753=""),"",LOOKUP(F753,Lists!$F$2:$F$5,Lists!$G$2:$G$5))</f>
        <v/>
      </c>
      <c r="P753" s="16">
        <f>IF(A753="","",SUM(H753:K753))</f>
        <v/>
      </c>
      <c r="Q753" s="17">
        <f>IF(A753="","",IFERROR(P753/G753,""))</f>
        <v/>
      </c>
      <c r="R753" s="14">
        <f>IF(OR(A753="",G753=""),"",COUNTIFS($N$2:$N$1000,"&gt;0",$G$2:$G$1000,"&gt;"&amp;G753)+COUNTIFS($N$2:N753,"&gt;0",$G$2:G753,G753))</f>
        <v/>
      </c>
    </row>
    <row r="754">
      <c r="A754" s="9" t="n"/>
      <c r="B754" s="10" t="n"/>
      <c r="C754" s="10" t="n"/>
      <c r="D754" s="10" t="n"/>
      <c r="E754" s="10" t="n"/>
      <c r="F754" s="12" t="n"/>
      <c r="G754" s="13" t="n"/>
      <c r="H754" s="13" t="n"/>
      <c r="I754" s="13" t="n"/>
      <c r="J754" s="13" t="n"/>
      <c r="K754" s="13" t="n"/>
      <c r="L754" s="10" t="n"/>
      <c r="M754" s="10" t="n"/>
      <c r="N754" s="14">
        <f>IF(A754="","",WEEKNUM(A754,2))</f>
        <v/>
      </c>
      <c r="O754" s="15">
        <f>IF(OR(A754="",F754=""),"",LOOKUP(F754,Lists!$F$2:$F$5,Lists!$G$2:$G$5))</f>
        <v/>
      </c>
      <c r="P754" s="16">
        <f>IF(A754="","",SUM(H754:K754))</f>
        <v/>
      </c>
      <c r="Q754" s="17">
        <f>IF(A754="","",IFERROR(P754/G754,""))</f>
        <v/>
      </c>
      <c r="R754" s="14">
        <f>IF(OR(A754="",G754=""),"",COUNTIFS($N$2:$N$1000,"&gt;0",$G$2:$G$1000,"&gt;"&amp;G754)+COUNTIFS($N$2:N754,"&gt;0",$G$2:G754,G754))</f>
        <v/>
      </c>
    </row>
    <row r="755">
      <c r="A755" s="9" t="n"/>
      <c r="B755" s="10" t="n"/>
      <c r="C755" s="10" t="n"/>
      <c r="D755" s="10" t="n"/>
      <c r="E755" s="10" t="n"/>
      <c r="F755" s="12" t="n"/>
      <c r="G755" s="13" t="n"/>
      <c r="H755" s="13" t="n"/>
      <c r="I755" s="13" t="n"/>
      <c r="J755" s="13" t="n"/>
      <c r="K755" s="13" t="n"/>
      <c r="L755" s="10" t="n"/>
      <c r="M755" s="10" t="n"/>
      <c r="N755" s="14">
        <f>IF(A755="","",WEEKNUM(A755,2))</f>
        <v/>
      </c>
      <c r="O755" s="15">
        <f>IF(OR(A755="",F755=""),"",LOOKUP(F755,Lists!$F$2:$F$5,Lists!$G$2:$G$5))</f>
        <v/>
      </c>
      <c r="P755" s="16">
        <f>IF(A755="","",SUM(H755:K755))</f>
        <v/>
      </c>
      <c r="Q755" s="17">
        <f>IF(A755="","",IFERROR(P755/G755,""))</f>
        <v/>
      </c>
      <c r="R755" s="14">
        <f>IF(OR(A755="",G755=""),"",COUNTIFS($N$2:$N$1000,"&gt;0",$G$2:$G$1000,"&gt;"&amp;G755)+COUNTIFS($N$2:N755,"&gt;0",$G$2:G755,G755))</f>
        <v/>
      </c>
    </row>
    <row r="756">
      <c r="A756" s="9" t="n"/>
      <c r="B756" s="10" t="n"/>
      <c r="C756" s="10" t="n"/>
      <c r="D756" s="10" t="n"/>
      <c r="E756" s="10" t="n"/>
      <c r="F756" s="12" t="n"/>
      <c r="G756" s="13" t="n"/>
      <c r="H756" s="13" t="n"/>
      <c r="I756" s="13" t="n"/>
      <c r="J756" s="13" t="n"/>
      <c r="K756" s="13" t="n"/>
      <c r="L756" s="10" t="n"/>
      <c r="M756" s="10" t="n"/>
      <c r="N756" s="14">
        <f>IF(A756="","",WEEKNUM(A756,2))</f>
        <v/>
      </c>
      <c r="O756" s="15">
        <f>IF(OR(A756="",F756=""),"",LOOKUP(F756,Lists!$F$2:$F$5,Lists!$G$2:$G$5))</f>
        <v/>
      </c>
      <c r="P756" s="16">
        <f>IF(A756="","",SUM(H756:K756))</f>
        <v/>
      </c>
      <c r="Q756" s="17">
        <f>IF(A756="","",IFERROR(P756/G756,""))</f>
        <v/>
      </c>
      <c r="R756" s="14">
        <f>IF(OR(A756="",G756=""),"",COUNTIFS($N$2:$N$1000,"&gt;0",$G$2:$G$1000,"&gt;"&amp;G756)+COUNTIFS($N$2:N756,"&gt;0",$G$2:G756,G756))</f>
        <v/>
      </c>
    </row>
    <row r="757">
      <c r="A757" s="9" t="n"/>
      <c r="B757" s="10" t="n"/>
      <c r="C757" s="10" t="n"/>
      <c r="D757" s="10" t="n"/>
      <c r="E757" s="10" t="n"/>
      <c r="F757" s="12" t="n"/>
      <c r="G757" s="13" t="n"/>
      <c r="H757" s="13" t="n"/>
      <c r="I757" s="13" t="n"/>
      <c r="J757" s="13" t="n"/>
      <c r="K757" s="13" t="n"/>
      <c r="L757" s="10" t="n"/>
      <c r="M757" s="10" t="n"/>
      <c r="N757" s="14">
        <f>IF(A757="","",WEEKNUM(A757,2))</f>
        <v/>
      </c>
      <c r="O757" s="15">
        <f>IF(OR(A757="",F757=""),"",LOOKUP(F757,Lists!$F$2:$F$5,Lists!$G$2:$G$5))</f>
        <v/>
      </c>
      <c r="P757" s="16">
        <f>IF(A757="","",SUM(H757:K757))</f>
        <v/>
      </c>
      <c r="Q757" s="17">
        <f>IF(A757="","",IFERROR(P757/G757,""))</f>
        <v/>
      </c>
      <c r="R757" s="14">
        <f>IF(OR(A757="",G757=""),"",COUNTIFS($N$2:$N$1000,"&gt;0",$G$2:$G$1000,"&gt;"&amp;G757)+COUNTIFS($N$2:N757,"&gt;0",$G$2:G757,G757))</f>
        <v/>
      </c>
    </row>
    <row r="758">
      <c r="A758" s="9" t="n"/>
      <c r="B758" s="10" t="n"/>
      <c r="C758" s="10" t="n"/>
      <c r="D758" s="10" t="n"/>
      <c r="E758" s="10" t="n"/>
      <c r="F758" s="12" t="n"/>
      <c r="G758" s="13" t="n"/>
      <c r="H758" s="13" t="n"/>
      <c r="I758" s="13" t="n"/>
      <c r="J758" s="13" t="n"/>
      <c r="K758" s="13" t="n"/>
      <c r="L758" s="10" t="n"/>
      <c r="M758" s="10" t="n"/>
      <c r="N758" s="14">
        <f>IF(A758="","",WEEKNUM(A758,2))</f>
        <v/>
      </c>
      <c r="O758" s="15">
        <f>IF(OR(A758="",F758=""),"",LOOKUP(F758,Lists!$F$2:$F$5,Lists!$G$2:$G$5))</f>
        <v/>
      </c>
      <c r="P758" s="16">
        <f>IF(A758="","",SUM(H758:K758))</f>
        <v/>
      </c>
      <c r="Q758" s="17">
        <f>IF(A758="","",IFERROR(P758/G758,""))</f>
        <v/>
      </c>
      <c r="R758" s="14">
        <f>IF(OR(A758="",G758=""),"",COUNTIFS($N$2:$N$1000,"&gt;0",$G$2:$G$1000,"&gt;"&amp;G758)+COUNTIFS($N$2:N758,"&gt;0",$G$2:G758,G758))</f>
        <v/>
      </c>
    </row>
    <row r="759">
      <c r="A759" s="9" t="n"/>
      <c r="B759" s="10" t="n"/>
      <c r="C759" s="10" t="n"/>
      <c r="D759" s="10" t="n"/>
      <c r="E759" s="10" t="n"/>
      <c r="F759" s="12" t="n"/>
      <c r="G759" s="13" t="n"/>
      <c r="H759" s="13" t="n"/>
      <c r="I759" s="13" t="n"/>
      <c r="J759" s="13" t="n"/>
      <c r="K759" s="13" t="n"/>
      <c r="L759" s="10" t="n"/>
      <c r="M759" s="10" t="n"/>
      <c r="N759" s="14">
        <f>IF(A759="","",WEEKNUM(A759,2))</f>
        <v/>
      </c>
      <c r="O759" s="15">
        <f>IF(OR(A759="",F759=""),"",LOOKUP(F759,Lists!$F$2:$F$5,Lists!$G$2:$G$5))</f>
        <v/>
      </c>
      <c r="P759" s="16">
        <f>IF(A759="","",SUM(H759:K759))</f>
        <v/>
      </c>
      <c r="Q759" s="17">
        <f>IF(A759="","",IFERROR(P759/G759,""))</f>
        <v/>
      </c>
      <c r="R759" s="14">
        <f>IF(OR(A759="",G759=""),"",COUNTIFS($N$2:$N$1000,"&gt;0",$G$2:$G$1000,"&gt;"&amp;G759)+COUNTIFS($N$2:N759,"&gt;0",$G$2:G759,G759))</f>
        <v/>
      </c>
    </row>
    <row r="760">
      <c r="A760" s="9" t="n"/>
      <c r="B760" s="10" t="n"/>
      <c r="C760" s="10" t="n"/>
      <c r="D760" s="10" t="n"/>
      <c r="E760" s="10" t="n"/>
      <c r="F760" s="12" t="n"/>
      <c r="G760" s="13" t="n"/>
      <c r="H760" s="13" t="n"/>
      <c r="I760" s="13" t="n"/>
      <c r="J760" s="13" t="n"/>
      <c r="K760" s="13" t="n"/>
      <c r="L760" s="10" t="n"/>
      <c r="M760" s="10" t="n"/>
      <c r="N760" s="14">
        <f>IF(A760="","",WEEKNUM(A760,2))</f>
        <v/>
      </c>
      <c r="O760" s="15">
        <f>IF(OR(A760="",F760=""),"",LOOKUP(F760,Lists!$F$2:$F$5,Lists!$G$2:$G$5))</f>
        <v/>
      </c>
      <c r="P760" s="16">
        <f>IF(A760="","",SUM(H760:K760))</f>
        <v/>
      </c>
      <c r="Q760" s="17">
        <f>IF(A760="","",IFERROR(P760/G760,""))</f>
        <v/>
      </c>
      <c r="R760" s="14">
        <f>IF(OR(A760="",G760=""),"",COUNTIFS($N$2:$N$1000,"&gt;0",$G$2:$G$1000,"&gt;"&amp;G760)+COUNTIFS($N$2:N760,"&gt;0",$G$2:G760,G760))</f>
        <v/>
      </c>
    </row>
    <row r="761">
      <c r="A761" s="9" t="n"/>
      <c r="B761" s="10" t="n"/>
      <c r="C761" s="10" t="n"/>
      <c r="D761" s="10" t="n"/>
      <c r="E761" s="10" t="n"/>
      <c r="F761" s="12" t="n"/>
      <c r="G761" s="13" t="n"/>
      <c r="H761" s="13" t="n"/>
      <c r="I761" s="13" t="n"/>
      <c r="J761" s="13" t="n"/>
      <c r="K761" s="13" t="n"/>
      <c r="L761" s="10" t="n"/>
      <c r="M761" s="10" t="n"/>
      <c r="N761" s="14">
        <f>IF(A761="","",WEEKNUM(A761,2))</f>
        <v/>
      </c>
      <c r="O761" s="15">
        <f>IF(OR(A761="",F761=""),"",LOOKUP(F761,Lists!$F$2:$F$5,Lists!$G$2:$G$5))</f>
        <v/>
      </c>
      <c r="P761" s="16">
        <f>IF(A761="","",SUM(H761:K761))</f>
        <v/>
      </c>
      <c r="Q761" s="17">
        <f>IF(A761="","",IFERROR(P761/G761,""))</f>
        <v/>
      </c>
      <c r="R761" s="14">
        <f>IF(OR(A761="",G761=""),"",COUNTIFS($N$2:$N$1000,"&gt;0",$G$2:$G$1000,"&gt;"&amp;G761)+COUNTIFS($N$2:N761,"&gt;0",$G$2:G761,G761))</f>
        <v/>
      </c>
    </row>
    <row r="762">
      <c r="A762" s="9" t="n"/>
      <c r="B762" s="10" t="n"/>
      <c r="C762" s="10" t="n"/>
      <c r="D762" s="10" t="n"/>
      <c r="E762" s="10" t="n"/>
      <c r="F762" s="12" t="n"/>
      <c r="G762" s="13" t="n"/>
      <c r="H762" s="13" t="n"/>
      <c r="I762" s="13" t="n"/>
      <c r="J762" s="13" t="n"/>
      <c r="K762" s="13" t="n"/>
      <c r="L762" s="10" t="n"/>
      <c r="M762" s="10" t="n"/>
      <c r="N762" s="14">
        <f>IF(A762="","",WEEKNUM(A762,2))</f>
        <v/>
      </c>
      <c r="O762" s="15">
        <f>IF(OR(A762="",F762=""),"",LOOKUP(F762,Lists!$F$2:$F$5,Lists!$G$2:$G$5))</f>
        <v/>
      </c>
      <c r="P762" s="16">
        <f>IF(A762="","",SUM(H762:K762))</f>
        <v/>
      </c>
      <c r="Q762" s="17">
        <f>IF(A762="","",IFERROR(P762/G762,""))</f>
        <v/>
      </c>
      <c r="R762" s="14">
        <f>IF(OR(A762="",G762=""),"",COUNTIFS($N$2:$N$1000,"&gt;0",$G$2:$G$1000,"&gt;"&amp;G762)+COUNTIFS($N$2:N762,"&gt;0",$G$2:G762,G762))</f>
        <v/>
      </c>
    </row>
    <row r="763">
      <c r="A763" s="9" t="n"/>
      <c r="B763" s="10" t="n"/>
      <c r="C763" s="10" t="n"/>
      <c r="D763" s="10" t="n"/>
      <c r="E763" s="10" t="n"/>
      <c r="F763" s="12" t="n"/>
      <c r="G763" s="13" t="n"/>
      <c r="H763" s="13" t="n"/>
      <c r="I763" s="13" t="n"/>
      <c r="J763" s="13" t="n"/>
      <c r="K763" s="13" t="n"/>
      <c r="L763" s="10" t="n"/>
      <c r="M763" s="10" t="n"/>
      <c r="N763" s="14">
        <f>IF(A763="","",WEEKNUM(A763,2))</f>
        <v/>
      </c>
      <c r="O763" s="15">
        <f>IF(OR(A763="",F763=""),"",LOOKUP(F763,Lists!$F$2:$F$5,Lists!$G$2:$G$5))</f>
        <v/>
      </c>
      <c r="P763" s="16">
        <f>IF(A763="","",SUM(H763:K763))</f>
        <v/>
      </c>
      <c r="Q763" s="17">
        <f>IF(A763="","",IFERROR(P763/G763,""))</f>
        <v/>
      </c>
      <c r="R763" s="14">
        <f>IF(OR(A763="",G763=""),"",COUNTIFS($N$2:$N$1000,"&gt;0",$G$2:$G$1000,"&gt;"&amp;G763)+COUNTIFS($N$2:N763,"&gt;0",$G$2:G763,G763))</f>
        <v/>
      </c>
    </row>
    <row r="764">
      <c r="A764" s="9" t="n"/>
      <c r="B764" s="10" t="n"/>
      <c r="C764" s="10" t="n"/>
      <c r="D764" s="10" t="n"/>
      <c r="E764" s="10" t="n"/>
      <c r="F764" s="12" t="n"/>
      <c r="G764" s="13" t="n"/>
      <c r="H764" s="13" t="n"/>
      <c r="I764" s="13" t="n"/>
      <c r="J764" s="13" t="n"/>
      <c r="K764" s="13" t="n"/>
      <c r="L764" s="10" t="n"/>
      <c r="M764" s="10" t="n"/>
      <c r="N764" s="14">
        <f>IF(A764="","",WEEKNUM(A764,2))</f>
        <v/>
      </c>
      <c r="O764" s="15">
        <f>IF(OR(A764="",F764=""),"",LOOKUP(F764,Lists!$F$2:$F$5,Lists!$G$2:$G$5))</f>
        <v/>
      </c>
      <c r="P764" s="16">
        <f>IF(A764="","",SUM(H764:K764))</f>
        <v/>
      </c>
      <c r="Q764" s="17">
        <f>IF(A764="","",IFERROR(P764/G764,""))</f>
        <v/>
      </c>
      <c r="R764" s="14">
        <f>IF(OR(A764="",G764=""),"",COUNTIFS($N$2:$N$1000,"&gt;0",$G$2:$G$1000,"&gt;"&amp;G764)+COUNTIFS($N$2:N764,"&gt;0",$G$2:G764,G764))</f>
        <v/>
      </c>
    </row>
    <row r="765">
      <c r="A765" s="9" t="n"/>
      <c r="B765" s="10" t="n"/>
      <c r="C765" s="10" t="n"/>
      <c r="D765" s="10" t="n"/>
      <c r="E765" s="10" t="n"/>
      <c r="F765" s="12" t="n"/>
      <c r="G765" s="13" t="n"/>
      <c r="H765" s="13" t="n"/>
      <c r="I765" s="13" t="n"/>
      <c r="J765" s="13" t="n"/>
      <c r="K765" s="13" t="n"/>
      <c r="L765" s="10" t="n"/>
      <c r="M765" s="10" t="n"/>
      <c r="N765" s="14">
        <f>IF(A765="","",WEEKNUM(A765,2))</f>
        <v/>
      </c>
      <c r="O765" s="15">
        <f>IF(OR(A765="",F765=""),"",LOOKUP(F765,Lists!$F$2:$F$5,Lists!$G$2:$G$5))</f>
        <v/>
      </c>
      <c r="P765" s="16">
        <f>IF(A765="","",SUM(H765:K765))</f>
        <v/>
      </c>
      <c r="Q765" s="17">
        <f>IF(A765="","",IFERROR(P765/G765,""))</f>
        <v/>
      </c>
      <c r="R765" s="14">
        <f>IF(OR(A765="",G765=""),"",COUNTIFS($N$2:$N$1000,"&gt;0",$G$2:$G$1000,"&gt;"&amp;G765)+COUNTIFS($N$2:N765,"&gt;0",$G$2:G765,G765))</f>
        <v/>
      </c>
    </row>
    <row r="766">
      <c r="A766" s="9" t="n"/>
      <c r="B766" s="10" t="n"/>
      <c r="C766" s="10" t="n"/>
      <c r="D766" s="10" t="n"/>
      <c r="E766" s="10" t="n"/>
      <c r="F766" s="12" t="n"/>
      <c r="G766" s="13" t="n"/>
      <c r="H766" s="13" t="n"/>
      <c r="I766" s="13" t="n"/>
      <c r="J766" s="13" t="n"/>
      <c r="K766" s="13" t="n"/>
      <c r="L766" s="10" t="n"/>
      <c r="M766" s="10" t="n"/>
      <c r="N766" s="14">
        <f>IF(A766="","",WEEKNUM(A766,2))</f>
        <v/>
      </c>
      <c r="O766" s="15">
        <f>IF(OR(A766="",F766=""),"",LOOKUP(F766,Lists!$F$2:$F$5,Lists!$G$2:$G$5))</f>
        <v/>
      </c>
      <c r="P766" s="16">
        <f>IF(A766="","",SUM(H766:K766))</f>
        <v/>
      </c>
      <c r="Q766" s="17">
        <f>IF(A766="","",IFERROR(P766/G766,""))</f>
        <v/>
      </c>
      <c r="R766" s="14">
        <f>IF(OR(A766="",G766=""),"",COUNTIFS($N$2:$N$1000,"&gt;0",$G$2:$G$1000,"&gt;"&amp;G766)+COUNTIFS($N$2:N766,"&gt;0",$G$2:G766,G766))</f>
        <v/>
      </c>
    </row>
    <row r="767">
      <c r="A767" s="9" t="n"/>
      <c r="B767" s="10" t="n"/>
      <c r="C767" s="10" t="n"/>
      <c r="D767" s="10" t="n"/>
      <c r="E767" s="10" t="n"/>
      <c r="F767" s="12" t="n"/>
      <c r="G767" s="13" t="n"/>
      <c r="H767" s="13" t="n"/>
      <c r="I767" s="13" t="n"/>
      <c r="J767" s="13" t="n"/>
      <c r="K767" s="13" t="n"/>
      <c r="L767" s="10" t="n"/>
      <c r="M767" s="10" t="n"/>
      <c r="N767" s="14">
        <f>IF(A767="","",WEEKNUM(A767,2))</f>
        <v/>
      </c>
      <c r="O767" s="15">
        <f>IF(OR(A767="",F767=""),"",LOOKUP(F767,Lists!$F$2:$F$5,Lists!$G$2:$G$5))</f>
        <v/>
      </c>
      <c r="P767" s="16">
        <f>IF(A767="","",SUM(H767:K767))</f>
        <v/>
      </c>
      <c r="Q767" s="17">
        <f>IF(A767="","",IFERROR(P767/G767,""))</f>
        <v/>
      </c>
      <c r="R767" s="14">
        <f>IF(OR(A767="",G767=""),"",COUNTIFS($N$2:$N$1000,"&gt;0",$G$2:$G$1000,"&gt;"&amp;G767)+COUNTIFS($N$2:N767,"&gt;0",$G$2:G767,G767))</f>
        <v/>
      </c>
    </row>
    <row r="768">
      <c r="A768" s="9" t="n"/>
      <c r="B768" s="10" t="n"/>
      <c r="C768" s="10" t="n"/>
      <c r="D768" s="10" t="n"/>
      <c r="E768" s="10" t="n"/>
      <c r="F768" s="12" t="n"/>
      <c r="G768" s="13" t="n"/>
      <c r="H768" s="13" t="n"/>
      <c r="I768" s="13" t="n"/>
      <c r="J768" s="13" t="n"/>
      <c r="K768" s="13" t="n"/>
      <c r="L768" s="10" t="n"/>
      <c r="M768" s="10" t="n"/>
      <c r="N768" s="14">
        <f>IF(A768="","",WEEKNUM(A768,2))</f>
        <v/>
      </c>
      <c r="O768" s="15">
        <f>IF(OR(A768="",F768=""),"",LOOKUP(F768,Lists!$F$2:$F$5,Lists!$G$2:$G$5))</f>
        <v/>
      </c>
      <c r="P768" s="16">
        <f>IF(A768="","",SUM(H768:K768))</f>
        <v/>
      </c>
      <c r="Q768" s="17">
        <f>IF(A768="","",IFERROR(P768/G768,""))</f>
        <v/>
      </c>
      <c r="R768" s="14">
        <f>IF(OR(A768="",G768=""),"",COUNTIFS($N$2:$N$1000,"&gt;0",$G$2:$G$1000,"&gt;"&amp;G768)+COUNTIFS($N$2:N768,"&gt;0",$G$2:G768,G768))</f>
        <v/>
      </c>
    </row>
    <row r="769">
      <c r="A769" s="9" t="n"/>
      <c r="B769" s="10" t="n"/>
      <c r="C769" s="10" t="n"/>
      <c r="D769" s="10" t="n"/>
      <c r="E769" s="10" t="n"/>
      <c r="F769" s="12" t="n"/>
      <c r="G769" s="13" t="n"/>
      <c r="H769" s="13" t="n"/>
      <c r="I769" s="13" t="n"/>
      <c r="J769" s="13" t="n"/>
      <c r="K769" s="13" t="n"/>
      <c r="L769" s="10" t="n"/>
      <c r="M769" s="10" t="n"/>
      <c r="N769" s="14">
        <f>IF(A769="","",WEEKNUM(A769,2))</f>
        <v/>
      </c>
      <c r="O769" s="15">
        <f>IF(OR(A769="",F769=""),"",LOOKUP(F769,Lists!$F$2:$F$5,Lists!$G$2:$G$5))</f>
        <v/>
      </c>
      <c r="P769" s="16">
        <f>IF(A769="","",SUM(H769:K769))</f>
        <v/>
      </c>
      <c r="Q769" s="17">
        <f>IF(A769="","",IFERROR(P769/G769,""))</f>
        <v/>
      </c>
      <c r="R769" s="14">
        <f>IF(OR(A769="",G769=""),"",COUNTIFS($N$2:$N$1000,"&gt;0",$G$2:$G$1000,"&gt;"&amp;G769)+COUNTIFS($N$2:N769,"&gt;0",$G$2:G769,G769))</f>
        <v/>
      </c>
    </row>
    <row r="770">
      <c r="A770" s="9" t="n"/>
      <c r="B770" s="10" t="n"/>
      <c r="C770" s="10" t="n"/>
      <c r="D770" s="10" t="n"/>
      <c r="E770" s="10" t="n"/>
      <c r="F770" s="12" t="n"/>
      <c r="G770" s="13" t="n"/>
      <c r="H770" s="13" t="n"/>
      <c r="I770" s="13" t="n"/>
      <c r="J770" s="13" t="n"/>
      <c r="K770" s="13" t="n"/>
      <c r="L770" s="10" t="n"/>
      <c r="M770" s="10" t="n"/>
      <c r="N770" s="14">
        <f>IF(A770="","",WEEKNUM(A770,2))</f>
        <v/>
      </c>
      <c r="O770" s="15">
        <f>IF(OR(A770="",F770=""),"",LOOKUP(F770,Lists!$F$2:$F$5,Lists!$G$2:$G$5))</f>
        <v/>
      </c>
      <c r="P770" s="16">
        <f>IF(A770="","",SUM(H770:K770))</f>
        <v/>
      </c>
      <c r="Q770" s="17">
        <f>IF(A770="","",IFERROR(P770/G770,""))</f>
        <v/>
      </c>
      <c r="R770" s="14">
        <f>IF(OR(A770="",G770=""),"",COUNTIFS($N$2:$N$1000,"&gt;0",$G$2:$G$1000,"&gt;"&amp;G770)+COUNTIFS($N$2:N770,"&gt;0",$G$2:G770,G770))</f>
        <v/>
      </c>
    </row>
    <row r="771">
      <c r="A771" s="9" t="n"/>
      <c r="B771" s="10" t="n"/>
      <c r="C771" s="10" t="n"/>
      <c r="D771" s="10" t="n"/>
      <c r="E771" s="10" t="n"/>
      <c r="F771" s="12" t="n"/>
      <c r="G771" s="13" t="n"/>
      <c r="H771" s="13" t="n"/>
      <c r="I771" s="13" t="n"/>
      <c r="J771" s="13" t="n"/>
      <c r="K771" s="13" t="n"/>
      <c r="L771" s="10" t="n"/>
      <c r="M771" s="10" t="n"/>
      <c r="N771" s="14">
        <f>IF(A771="","",WEEKNUM(A771,2))</f>
        <v/>
      </c>
      <c r="O771" s="15">
        <f>IF(OR(A771="",F771=""),"",LOOKUP(F771,Lists!$F$2:$F$5,Lists!$G$2:$G$5))</f>
        <v/>
      </c>
      <c r="P771" s="16">
        <f>IF(A771="","",SUM(H771:K771))</f>
        <v/>
      </c>
      <c r="Q771" s="17">
        <f>IF(A771="","",IFERROR(P771/G771,""))</f>
        <v/>
      </c>
      <c r="R771" s="14">
        <f>IF(OR(A771="",G771=""),"",COUNTIFS($N$2:$N$1000,"&gt;0",$G$2:$G$1000,"&gt;"&amp;G771)+COUNTIFS($N$2:N771,"&gt;0",$G$2:G771,G771))</f>
        <v/>
      </c>
    </row>
    <row r="772">
      <c r="A772" s="9" t="n"/>
      <c r="B772" s="10" t="n"/>
      <c r="C772" s="10" t="n"/>
      <c r="D772" s="10" t="n"/>
      <c r="E772" s="10" t="n"/>
      <c r="F772" s="12" t="n"/>
      <c r="G772" s="13" t="n"/>
      <c r="H772" s="13" t="n"/>
      <c r="I772" s="13" t="n"/>
      <c r="J772" s="13" t="n"/>
      <c r="K772" s="13" t="n"/>
      <c r="L772" s="10" t="n"/>
      <c r="M772" s="10" t="n"/>
      <c r="N772" s="14">
        <f>IF(A772="","",WEEKNUM(A772,2))</f>
        <v/>
      </c>
      <c r="O772" s="15">
        <f>IF(OR(A772="",F772=""),"",LOOKUP(F772,Lists!$F$2:$F$5,Lists!$G$2:$G$5))</f>
        <v/>
      </c>
      <c r="P772" s="16">
        <f>IF(A772="","",SUM(H772:K772))</f>
        <v/>
      </c>
      <c r="Q772" s="17">
        <f>IF(A772="","",IFERROR(P772/G772,""))</f>
        <v/>
      </c>
      <c r="R772" s="14">
        <f>IF(OR(A772="",G772=""),"",COUNTIFS($N$2:$N$1000,"&gt;0",$G$2:$G$1000,"&gt;"&amp;G772)+COUNTIFS($N$2:N772,"&gt;0",$G$2:G772,G772))</f>
        <v/>
      </c>
    </row>
    <row r="773">
      <c r="A773" s="9" t="n"/>
      <c r="B773" s="10" t="n"/>
      <c r="C773" s="10" t="n"/>
      <c r="D773" s="10" t="n"/>
      <c r="E773" s="10" t="n"/>
      <c r="F773" s="12" t="n"/>
      <c r="G773" s="13" t="n"/>
      <c r="H773" s="13" t="n"/>
      <c r="I773" s="13" t="n"/>
      <c r="J773" s="13" t="n"/>
      <c r="K773" s="13" t="n"/>
      <c r="L773" s="10" t="n"/>
      <c r="M773" s="10" t="n"/>
      <c r="N773" s="14">
        <f>IF(A773="","",WEEKNUM(A773,2))</f>
        <v/>
      </c>
      <c r="O773" s="15">
        <f>IF(OR(A773="",F773=""),"",LOOKUP(F773,Lists!$F$2:$F$5,Lists!$G$2:$G$5))</f>
        <v/>
      </c>
      <c r="P773" s="16">
        <f>IF(A773="","",SUM(H773:K773))</f>
        <v/>
      </c>
      <c r="Q773" s="17">
        <f>IF(A773="","",IFERROR(P773/G773,""))</f>
        <v/>
      </c>
      <c r="R773" s="14">
        <f>IF(OR(A773="",G773=""),"",COUNTIFS($N$2:$N$1000,"&gt;0",$G$2:$G$1000,"&gt;"&amp;G773)+COUNTIFS($N$2:N773,"&gt;0",$G$2:G773,G773))</f>
        <v/>
      </c>
    </row>
    <row r="774">
      <c r="A774" s="9" t="n"/>
      <c r="B774" s="10" t="n"/>
      <c r="C774" s="10" t="n"/>
      <c r="D774" s="10" t="n"/>
      <c r="E774" s="10" t="n"/>
      <c r="F774" s="12" t="n"/>
      <c r="G774" s="13" t="n"/>
      <c r="H774" s="13" t="n"/>
      <c r="I774" s="13" t="n"/>
      <c r="J774" s="13" t="n"/>
      <c r="K774" s="13" t="n"/>
      <c r="L774" s="10" t="n"/>
      <c r="M774" s="10" t="n"/>
      <c r="N774" s="14">
        <f>IF(A774="","",WEEKNUM(A774,2))</f>
        <v/>
      </c>
      <c r="O774" s="15">
        <f>IF(OR(A774="",F774=""),"",LOOKUP(F774,Lists!$F$2:$F$5,Lists!$G$2:$G$5))</f>
        <v/>
      </c>
      <c r="P774" s="16">
        <f>IF(A774="","",SUM(H774:K774))</f>
        <v/>
      </c>
      <c r="Q774" s="17">
        <f>IF(A774="","",IFERROR(P774/G774,""))</f>
        <v/>
      </c>
      <c r="R774" s="14">
        <f>IF(OR(A774="",G774=""),"",COUNTIFS($N$2:$N$1000,"&gt;0",$G$2:$G$1000,"&gt;"&amp;G774)+COUNTIFS($N$2:N774,"&gt;0",$G$2:G774,G774))</f>
        <v/>
      </c>
    </row>
    <row r="775">
      <c r="A775" s="9" t="n"/>
      <c r="B775" s="10" t="n"/>
      <c r="C775" s="10" t="n"/>
      <c r="D775" s="10" t="n"/>
      <c r="E775" s="10" t="n"/>
      <c r="F775" s="12" t="n"/>
      <c r="G775" s="13" t="n"/>
      <c r="H775" s="13" t="n"/>
      <c r="I775" s="13" t="n"/>
      <c r="J775" s="13" t="n"/>
      <c r="K775" s="13" t="n"/>
      <c r="L775" s="10" t="n"/>
      <c r="M775" s="10" t="n"/>
      <c r="N775" s="14">
        <f>IF(A775="","",WEEKNUM(A775,2))</f>
        <v/>
      </c>
      <c r="O775" s="15">
        <f>IF(OR(A775="",F775=""),"",LOOKUP(F775,Lists!$F$2:$F$5,Lists!$G$2:$G$5))</f>
        <v/>
      </c>
      <c r="P775" s="16">
        <f>IF(A775="","",SUM(H775:K775))</f>
        <v/>
      </c>
      <c r="Q775" s="17">
        <f>IF(A775="","",IFERROR(P775/G775,""))</f>
        <v/>
      </c>
      <c r="R775" s="14">
        <f>IF(OR(A775="",G775=""),"",COUNTIFS($N$2:$N$1000,"&gt;0",$G$2:$G$1000,"&gt;"&amp;G775)+COUNTIFS($N$2:N775,"&gt;0",$G$2:G775,G775))</f>
        <v/>
      </c>
    </row>
    <row r="776">
      <c r="A776" s="9" t="n"/>
      <c r="B776" s="10" t="n"/>
      <c r="C776" s="10" t="n"/>
      <c r="D776" s="10" t="n"/>
      <c r="E776" s="10" t="n"/>
      <c r="F776" s="12" t="n"/>
      <c r="G776" s="13" t="n"/>
      <c r="H776" s="13" t="n"/>
      <c r="I776" s="13" t="n"/>
      <c r="J776" s="13" t="n"/>
      <c r="K776" s="13" t="n"/>
      <c r="L776" s="10" t="n"/>
      <c r="M776" s="10" t="n"/>
      <c r="N776" s="14">
        <f>IF(A776="","",WEEKNUM(A776,2))</f>
        <v/>
      </c>
      <c r="O776" s="15">
        <f>IF(OR(A776="",F776=""),"",LOOKUP(F776,Lists!$F$2:$F$5,Lists!$G$2:$G$5))</f>
        <v/>
      </c>
      <c r="P776" s="16">
        <f>IF(A776="","",SUM(H776:K776))</f>
        <v/>
      </c>
      <c r="Q776" s="17">
        <f>IF(A776="","",IFERROR(P776/G776,""))</f>
        <v/>
      </c>
      <c r="R776" s="14">
        <f>IF(OR(A776="",G776=""),"",COUNTIFS($N$2:$N$1000,"&gt;0",$G$2:$G$1000,"&gt;"&amp;G776)+COUNTIFS($N$2:N776,"&gt;0",$G$2:G776,G776))</f>
        <v/>
      </c>
    </row>
    <row r="777">
      <c r="A777" s="9" t="n"/>
      <c r="B777" s="10" t="n"/>
      <c r="C777" s="10" t="n"/>
      <c r="D777" s="10" t="n"/>
      <c r="E777" s="10" t="n"/>
      <c r="F777" s="12" t="n"/>
      <c r="G777" s="13" t="n"/>
      <c r="H777" s="13" t="n"/>
      <c r="I777" s="13" t="n"/>
      <c r="J777" s="13" t="n"/>
      <c r="K777" s="13" t="n"/>
      <c r="L777" s="10" t="n"/>
      <c r="M777" s="10" t="n"/>
      <c r="N777" s="14">
        <f>IF(A777="","",WEEKNUM(A777,2))</f>
        <v/>
      </c>
      <c r="O777" s="15">
        <f>IF(OR(A777="",F777=""),"",LOOKUP(F777,Lists!$F$2:$F$5,Lists!$G$2:$G$5))</f>
        <v/>
      </c>
      <c r="P777" s="16">
        <f>IF(A777="","",SUM(H777:K777))</f>
        <v/>
      </c>
      <c r="Q777" s="17">
        <f>IF(A777="","",IFERROR(P777/G777,""))</f>
        <v/>
      </c>
      <c r="R777" s="14">
        <f>IF(OR(A777="",G777=""),"",COUNTIFS($N$2:$N$1000,"&gt;0",$G$2:$G$1000,"&gt;"&amp;G777)+COUNTIFS($N$2:N777,"&gt;0",$G$2:G777,G777))</f>
        <v/>
      </c>
    </row>
    <row r="778">
      <c r="A778" s="9" t="n"/>
      <c r="B778" s="10" t="n"/>
      <c r="C778" s="10" t="n"/>
      <c r="D778" s="10" t="n"/>
      <c r="E778" s="10" t="n"/>
      <c r="F778" s="12" t="n"/>
      <c r="G778" s="13" t="n"/>
      <c r="H778" s="13" t="n"/>
      <c r="I778" s="13" t="n"/>
      <c r="J778" s="13" t="n"/>
      <c r="K778" s="13" t="n"/>
      <c r="L778" s="10" t="n"/>
      <c r="M778" s="10" t="n"/>
      <c r="N778" s="14">
        <f>IF(A778="","",WEEKNUM(A778,2))</f>
        <v/>
      </c>
      <c r="O778" s="15">
        <f>IF(OR(A778="",F778=""),"",LOOKUP(F778,Lists!$F$2:$F$5,Lists!$G$2:$G$5))</f>
        <v/>
      </c>
      <c r="P778" s="16">
        <f>IF(A778="","",SUM(H778:K778))</f>
        <v/>
      </c>
      <c r="Q778" s="17">
        <f>IF(A778="","",IFERROR(P778/G778,""))</f>
        <v/>
      </c>
      <c r="R778" s="14">
        <f>IF(OR(A778="",G778=""),"",COUNTIFS($N$2:$N$1000,"&gt;0",$G$2:$G$1000,"&gt;"&amp;G778)+COUNTIFS($N$2:N778,"&gt;0",$G$2:G778,G778))</f>
        <v/>
      </c>
    </row>
    <row r="779">
      <c r="A779" s="9" t="n"/>
      <c r="B779" s="10" t="n"/>
      <c r="C779" s="10" t="n"/>
      <c r="D779" s="10" t="n"/>
      <c r="E779" s="10" t="n"/>
      <c r="F779" s="12" t="n"/>
      <c r="G779" s="13" t="n"/>
      <c r="H779" s="13" t="n"/>
      <c r="I779" s="13" t="n"/>
      <c r="J779" s="13" t="n"/>
      <c r="K779" s="13" t="n"/>
      <c r="L779" s="10" t="n"/>
      <c r="M779" s="10" t="n"/>
      <c r="N779" s="14">
        <f>IF(A779="","",WEEKNUM(A779,2))</f>
        <v/>
      </c>
      <c r="O779" s="15">
        <f>IF(OR(A779="",F779=""),"",LOOKUP(F779,Lists!$F$2:$F$5,Lists!$G$2:$G$5))</f>
        <v/>
      </c>
      <c r="P779" s="16">
        <f>IF(A779="","",SUM(H779:K779))</f>
        <v/>
      </c>
      <c r="Q779" s="17">
        <f>IF(A779="","",IFERROR(P779/G779,""))</f>
        <v/>
      </c>
      <c r="R779" s="14">
        <f>IF(OR(A779="",G779=""),"",COUNTIFS($N$2:$N$1000,"&gt;0",$G$2:$G$1000,"&gt;"&amp;G779)+COUNTIFS($N$2:N779,"&gt;0",$G$2:G779,G779))</f>
        <v/>
      </c>
    </row>
    <row r="780">
      <c r="A780" s="9" t="n"/>
      <c r="B780" s="10" t="n"/>
      <c r="C780" s="10" t="n"/>
      <c r="D780" s="10" t="n"/>
      <c r="E780" s="10" t="n"/>
      <c r="F780" s="12" t="n"/>
      <c r="G780" s="13" t="n"/>
      <c r="H780" s="13" t="n"/>
      <c r="I780" s="13" t="n"/>
      <c r="J780" s="13" t="n"/>
      <c r="K780" s="13" t="n"/>
      <c r="L780" s="10" t="n"/>
      <c r="M780" s="10" t="n"/>
      <c r="N780" s="14">
        <f>IF(A780="","",WEEKNUM(A780,2))</f>
        <v/>
      </c>
      <c r="O780" s="15">
        <f>IF(OR(A780="",F780=""),"",LOOKUP(F780,Lists!$F$2:$F$5,Lists!$G$2:$G$5))</f>
        <v/>
      </c>
      <c r="P780" s="16">
        <f>IF(A780="","",SUM(H780:K780))</f>
        <v/>
      </c>
      <c r="Q780" s="17">
        <f>IF(A780="","",IFERROR(P780/G780,""))</f>
        <v/>
      </c>
      <c r="R780" s="14">
        <f>IF(OR(A780="",G780=""),"",COUNTIFS($N$2:$N$1000,"&gt;0",$G$2:$G$1000,"&gt;"&amp;G780)+COUNTIFS($N$2:N780,"&gt;0",$G$2:G780,G780))</f>
        <v/>
      </c>
    </row>
    <row r="781">
      <c r="A781" s="9" t="n"/>
      <c r="B781" s="10" t="n"/>
      <c r="C781" s="10" t="n"/>
      <c r="D781" s="10" t="n"/>
      <c r="E781" s="10" t="n"/>
      <c r="F781" s="12" t="n"/>
      <c r="G781" s="13" t="n"/>
      <c r="H781" s="13" t="n"/>
      <c r="I781" s="13" t="n"/>
      <c r="J781" s="13" t="n"/>
      <c r="K781" s="13" t="n"/>
      <c r="L781" s="10" t="n"/>
      <c r="M781" s="10" t="n"/>
      <c r="N781" s="14">
        <f>IF(A781="","",WEEKNUM(A781,2))</f>
        <v/>
      </c>
      <c r="O781" s="15">
        <f>IF(OR(A781="",F781=""),"",LOOKUP(F781,Lists!$F$2:$F$5,Lists!$G$2:$G$5))</f>
        <v/>
      </c>
      <c r="P781" s="16">
        <f>IF(A781="","",SUM(H781:K781))</f>
        <v/>
      </c>
      <c r="Q781" s="17">
        <f>IF(A781="","",IFERROR(P781/G781,""))</f>
        <v/>
      </c>
      <c r="R781" s="14">
        <f>IF(OR(A781="",G781=""),"",COUNTIFS($N$2:$N$1000,"&gt;0",$G$2:$G$1000,"&gt;"&amp;G781)+COUNTIFS($N$2:N781,"&gt;0",$G$2:G781,G781))</f>
        <v/>
      </c>
    </row>
    <row r="782">
      <c r="A782" s="9" t="n"/>
      <c r="B782" s="10" t="n"/>
      <c r="C782" s="10" t="n"/>
      <c r="D782" s="10" t="n"/>
      <c r="E782" s="10" t="n"/>
      <c r="F782" s="12" t="n"/>
      <c r="G782" s="13" t="n"/>
      <c r="H782" s="13" t="n"/>
      <c r="I782" s="13" t="n"/>
      <c r="J782" s="13" t="n"/>
      <c r="K782" s="13" t="n"/>
      <c r="L782" s="10" t="n"/>
      <c r="M782" s="10" t="n"/>
      <c r="N782" s="14">
        <f>IF(A782="","",WEEKNUM(A782,2))</f>
        <v/>
      </c>
      <c r="O782" s="15">
        <f>IF(OR(A782="",F782=""),"",LOOKUP(F782,Lists!$F$2:$F$5,Lists!$G$2:$G$5))</f>
        <v/>
      </c>
      <c r="P782" s="16">
        <f>IF(A782="","",SUM(H782:K782))</f>
        <v/>
      </c>
      <c r="Q782" s="17">
        <f>IF(A782="","",IFERROR(P782/G782,""))</f>
        <v/>
      </c>
      <c r="R782" s="14">
        <f>IF(OR(A782="",G782=""),"",COUNTIFS($N$2:$N$1000,"&gt;0",$G$2:$G$1000,"&gt;"&amp;G782)+COUNTIFS($N$2:N782,"&gt;0",$G$2:G782,G782))</f>
        <v/>
      </c>
    </row>
    <row r="783">
      <c r="A783" s="9" t="n"/>
      <c r="B783" s="10" t="n"/>
      <c r="C783" s="10" t="n"/>
      <c r="D783" s="10" t="n"/>
      <c r="E783" s="10" t="n"/>
      <c r="F783" s="12" t="n"/>
      <c r="G783" s="13" t="n"/>
      <c r="H783" s="13" t="n"/>
      <c r="I783" s="13" t="n"/>
      <c r="J783" s="13" t="n"/>
      <c r="K783" s="13" t="n"/>
      <c r="L783" s="10" t="n"/>
      <c r="M783" s="10" t="n"/>
      <c r="N783" s="14">
        <f>IF(A783="","",WEEKNUM(A783,2))</f>
        <v/>
      </c>
      <c r="O783" s="15">
        <f>IF(OR(A783="",F783=""),"",LOOKUP(F783,Lists!$F$2:$F$5,Lists!$G$2:$G$5))</f>
        <v/>
      </c>
      <c r="P783" s="16">
        <f>IF(A783="","",SUM(H783:K783))</f>
        <v/>
      </c>
      <c r="Q783" s="17">
        <f>IF(A783="","",IFERROR(P783/G783,""))</f>
        <v/>
      </c>
      <c r="R783" s="14">
        <f>IF(OR(A783="",G783=""),"",COUNTIFS($N$2:$N$1000,"&gt;0",$G$2:$G$1000,"&gt;"&amp;G783)+COUNTIFS($N$2:N783,"&gt;0",$G$2:G783,G783))</f>
        <v/>
      </c>
    </row>
    <row r="784">
      <c r="A784" s="9" t="n"/>
      <c r="B784" s="10" t="n"/>
      <c r="C784" s="10" t="n"/>
      <c r="D784" s="10" t="n"/>
      <c r="E784" s="10" t="n"/>
      <c r="F784" s="12" t="n"/>
      <c r="G784" s="13" t="n"/>
      <c r="H784" s="13" t="n"/>
      <c r="I784" s="13" t="n"/>
      <c r="J784" s="13" t="n"/>
      <c r="K784" s="13" t="n"/>
      <c r="L784" s="10" t="n"/>
      <c r="M784" s="10" t="n"/>
      <c r="N784" s="14">
        <f>IF(A784="","",WEEKNUM(A784,2))</f>
        <v/>
      </c>
      <c r="O784" s="15">
        <f>IF(OR(A784="",F784=""),"",LOOKUP(F784,Lists!$F$2:$F$5,Lists!$G$2:$G$5))</f>
        <v/>
      </c>
      <c r="P784" s="16">
        <f>IF(A784="","",SUM(H784:K784))</f>
        <v/>
      </c>
      <c r="Q784" s="17">
        <f>IF(A784="","",IFERROR(P784/G784,""))</f>
        <v/>
      </c>
      <c r="R784" s="14">
        <f>IF(OR(A784="",G784=""),"",COUNTIFS($N$2:$N$1000,"&gt;0",$G$2:$G$1000,"&gt;"&amp;G784)+COUNTIFS($N$2:N784,"&gt;0",$G$2:G784,G784))</f>
        <v/>
      </c>
    </row>
    <row r="785">
      <c r="A785" s="9" t="n"/>
      <c r="B785" s="10" t="n"/>
      <c r="C785" s="10" t="n"/>
      <c r="D785" s="10" t="n"/>
      <c r="E785" s="10" t="n"/>
      <c r="F785" s="12" t="n"/>
      <c r="G785" s="13" t="n"/>
      <c r="H785" s="13" t="n"/>
      <c r="I785" s="13" t="n"/>
      <c r="J785" s="13" t="n"/>
      <c r="K785" s="13" t="n"/>
      <c r="L785" s="10" t="n"/>
      <c r="M785" s="10" t="n"/>
      <c r="N785" s="14">
        <f>IF(A785="","",WEEKNUM(A785,2))</f>
        <v/>
      </c>
      <c r="O785" s="15">
        <f>IF(OR(A785="",F785=""),"",LOOKUP(F785,Lists!$F$2:$F$5,Lists!$G$2:$G$5))</f>
        <v/>
      </c>
      <c r="P785" s="16">
        <f>IF(A785="","",SUM(H785:K785))</f>
        <v/>
      </c>
      <c r="Q785" s="17">
        <f>IF(A785="","",IFERROR(P785/G785,""))</f>
        <v/>
      </c>
      <c r="R785" s="14">
        <f>IF(OR(A785="",G785=""),"",COUNTIFS($N$2:$N$1000,"&gt;0",$G$2:$G$1000,"&gt;"&amp;G785)+COUNTIFS($N$2:N785,"&gt;0",$G$2:G785,G785))</f>
        <v/>
      </c>
    </row>
    <row r="786">
      <c r="A786" s="9" t="n"/>
      <c r="B786" s="10" t="n"/>
      <c r="C786" s="10" t="n"/>
      <c r="D786" s="10" t="n"/>
      <c r="E786" s="10" t="n"/>
      <c r="F786" s="12" t="n"/>
      <c r="G786" s="13" t="n"/>
      <c r="H786" s="13" t="n"/>
      <c r="I786" s="13" t="n"/>
      <c r="J786" s="13" t="n"/>
      <c r="K786" s="13" t="n"/>
      <c r="L786" s="10" t="n"/>
      <c r="M786" s="10" t="n"/>
      <c r="N786" s="14">
        <f>IF(A786="","",WEEKNUM(A786,2))</f>
        <v/>
      </c>
      <c r="O786" s="15">
        <f>IF(OR(A786="",F786=""),"",LOOKUP(F786,Lists!$F$2:$F$5,Lists!$G$2:$G$5))</f>
        <v/>
      </c>
      <c r="P786" s="16">
        <f>IF(A786="","",SUM(H786:K786))</f>
        <v/>
      </c>
      <c r="Q786" s="17">
        <f>IF(A786="","",IFERROR(P786/G786,""))</f>
        <v/>
      </c>
      <c r="R786" s="14">
        <f>IF(OR(A786="",G786=""),"",COUNTIFS($N$2:$N$1000,"&gt;0",$G$2:$G$1000,"&gt;"&amp;G786)+COUNTIFS($N$2:N786,"&gt;0",$G$2:G786,G786))</f>
        <v/>
      </c>
    </row>
    <row r="787">
      <c r="A787" s="9" t="n"/>
      <c r="B787" s="10" t="n"/>
      <c r="C787" s="10" t="n"/>
      <c r="D787" s="10" t="n"/>
      <c r="E787" s="10" t="n"/>
      <c r="F787" s="12" t="n"/>
      <c r="G787" s="13" t="n"/>
      <c r="H787" s="13" t="n"/>
      <c r="I787" s="13" t="n"/>
      <c r="J787" s="13" t="n"/>
      <c r="K787" s="13" t="n"/>
      <c r="L787" s="10" t="n"/>
      <c r="M787" s="10" t="n"/>
      <c r="N787" s="14">
        <f>IF(A787="","",WEEKNUM(A787,2))</f>
        <v/>
      </c>
      <c r="O787" s="15">
        <f>IF(OR(A787="",F787=""),"",LOOKUP(F787,Lists!$F$2:$F$5,Lists!$G$2:$G$5))</f>
        <v/>
      </c>
      <c r="P787" s="16">
        <f>IF(A787="","",SUM(H787:K787))</f>
        <v/>
      </c>
      <c r="Q787" s="17">
        <f>IF(A787="","",IFERROR(P787/G787,""))</f>
        <v/>
      </c>
      <c r="R787" s="14">
        <f>IF(OR(A787="",G787=""),"",COUNTIFS($N$2:$N$1000,"&gt;0",$G$2:$G$1000,"&gt;"&amp;G787)+COUNTIFS($N$2:N787,"&gt;0",$G$2:G787,G787))</f>
        <v/>
      </c>
    </row>
    <row r="788">
      <c r="A788" s="9" t="n"/>
      <c r="B788" s="10" t="n"/>
      <c r="C788" s="10" t="n"/>
      <c r="D788" s="10" t="n"/>
      <c r="E788" s="10" t="n"/>
      <c r="F788" s="12" t="n"/>
      <c r="G788" s="13" t="n"/>
      <c r="H788" s="13" t="n"/>
      <c r="I788" s="13" t="n"/>
      <c r="J788" s="13" t="n"/>
      <c r="K788" s="13" t="n"/>
      <c r="L788" s="10" t="n"/>
      <c r="M788" s="10" t="n"/>
      <c r="N788" s="14">
        <f>IF(A788="","",WEEKNUM(A788,2))</f>
        <v/>
      </c>
      <c r="O788" s="15">
        <f>IF(OR(A788="",F788=""),"",LOOKUP(F788,Lists!$F$2:$F$5,Lists!$G$2:$G$5))</f>
        <v/>
      </c>
      <c r="P788" s="16">
        <f>IF(A788="","",SUM(H788:K788))</f>
        <v/>
      </c>
      <c r="Q788" s="17">
        <f>IF(A788="","",IFERROR(P788/G788,""))</f>
        <v/>
      </c>
      <c r="R788" s="14">
        <f>IF(OR(A788="",G788=""),"",COUNTIFS($N$2:$N$1000,"&gt;0",$G$2:$G$1000,"&gt;"&amp;G788)+COUNTIFS($N$2:N788,"&gt;0",$G$2:G788,G788))</f>
        <v/>
      </c>
    </row>
    <row r="789">
      <c r="A789" s="9" t="n"/>
      <c r="B789" s="10" t="n"/>
      <c r="C789" s="10" t="n"/>
      <c r="D789" s="10" t="n"/>
      <c r="E789" s="10" t="n"/>
      <c r="F789" s="12" t="n"/>
      <c r="G789" s="13" t="n"/>
      <c r="H789" s="13" t="n"/>
      <c r="I789" s="13" t="n"/>
      <c r="J789" s="13" t="n"/>
      <c r="K789" s="13" t="n"/>
      <c r="L789" s="10" t="n"/>
      <c r="M789" s="10" t="n"/>
      <c r="N789" s="14">
        <f>IF(A789="","",WEEKNUM(A789,2))</f>
        <v/>
      </c>
      <c r="O789" s="15">
        <f>IF(OR(A789="",F789=""),"",LOOKUP(F789,Lists!$F$2:$F$5,Lists!$G$2:$G$5))</f>
        <v/>
      </c>
      <c r="P789" s="16">
        <f>IF(A789="","",SUM(H789:K789))</f>
        <v/>
      </c>
      <c r="Q789" s="17">
        <f>IF(A789="","",IFERROR(P789/G789,""))</f>
        <v/>
      </c>
      <c r="R789" s="14">
        <f>IF(OR(A789="",G789=""),"",COUNTIFS($N$2:$N$1000,"&gt;0",$G$2:$G$1000,"&gt;"&amp;G789)+COUNTIFS($N$2:N789,"&gt;0",$G$2:G789,G789))</f>
        <v/>
      </c>
    </row>
    <row r="790">
      <c r="A790" s="9" t="n"/>
      <c r="B790" s="10" t="n"/>
      <c r="C790" s="10" t="n"/>
      <c r="D790" s="10" t="n"/>
      <c r="E790" s="10" t="n"/>
      <c r="F790" s="12" t="n"/>
      <c r="G790" s="13" t="n"/>
      <c r="H790" s="13" t="n"/>
      <c r="I790" s="13" t="n"/>
      <c r="J790" s="13" t="n"/>
      <c r="K790" s="13" t="n"/>
      <c r="L790" s="10" t="n"/>
      <c r="M790" s="10" t="n"/>
      <c r="N790" s="14">
        <f>IF(A790="","",WEEKNUM(A790,2))</f>
        <v/>
      </c>
      <c r="O790" s="15">
        <f>IF(OR(A790="",F790=""),"",LOOKUP(F790,Lists!$F$2:$F$5,Lists!$G$2:$G$5))</f>
        <v/>
      </c>
      <c r="P790" s="16">
        <f>IF(A790="","",SUM(H790:K790))</f>
        <v/>
      </c>
      <c r="Q790" s="17">
        <f>IF(A790="","",IFERROR(P790/G790,""))</f>
        <v/>
      </c>
      <c r="R790" s="14">
        <f>IF(OR(A790="",G790=""),"",COUNTIFS($N$2:$N$1000,"&gt;0",$G$2:$G$1000,"&gt;"&amp;G790)+COUNTIFS($N$2:N790,"&gt;0",$G$2:G790,G790))</f>
        <v/>
      </c>
    </row>
    <row r="791">
      <c r="A791" s="9" t="n"/>
      <c r="B791" s="10" t="n"/>
      <c r="C791" s="10" t="n"/>
      <c r="D791" s="10" t="n"/>
      <c r="E791" s="10" t="n"/>
      <c r="F791" s="12" t="n"/>
      <c r="G791" s="13" t="n"/>
      <c r="H791" s="13" t="n"/>
      <c r="I791" s="13" t="n"/>
      <c r="J791" s="13" t="n"/>
      <c r="K791" s="13" t="n"/>
      <c r="L791" s="10" t="n"/>
      <c r="M791" s="10" t="n"/>
      <c r="N791" s="14">
        <f>IF(A791="","",WEEKNUM(A791,2))</f>
        <v/>
      </c>
      <c r="O791" s="15">
        <f>IF(OR(A791="",F791=""),"",LOOKUP(F791,Lists!$F$2:$F$5,Lists!$G$2:$G$5))</f>
        <v/>
      </c>
      <c r="P791" s="16">
        <f>IF(A791="","",SUM(H791:K791))</f>
        <v/>
      </c>
      <c r="Q791" s="17">
        <f>IF(A791="","",IFERROR(P791/G791,""))</f>
        <v/>
      </c>
      <c r="R791" s="14">
        <f>IF(OR(A791="",G791=""),"",COUNTIFS($N$2:$N$1000,"&gt;0",$G$2:$G$1000,"&gt;"&amp;G791)+COUNTIFS($N$2:N791,"&gt;0",$G$2:G791,G791))</f>
        <v/>
      </c>
    </row>
    <row r="792">
      <c r="A792" s="9" t="n"/>
      <c r="B792" s="10" t="n"/>
      <c r="C792" s="10" t="n"/>
      <c r="D792" s="10" t="n"/>
      <c r="E792" s="10" t="n"/>
      <c r="F792" s="12" t="n"/>
      <c r="G792" s="13" t="n"/>
      <c r="H792" s="13" t="n"/>
      <c r="I792" s="13" t="n"/>
      <c r="J792" s="13" t="n"/>
      <c r="K792" s="13" t="n"/>
      <c r="L792" s="10" t="n"/>
      <c r="M792" s="10" t="n"/>
      <c r="N792" s="14">
        <f>IF(A792="","",WEEKNUM(A792,2))</f>
        <v/>
      </c>
      <c r="O792" s="15">
        <f>IF(OR(A792="",F792=""),"",LOOKUP(F792,Lists!$F$2:$F$5,Lists!$G$2:$G$5))</f>
        <v/>
      </c>
      <c r="P792" s="16">
        <f>IF(A792="","",SUM(H792:K792))</f>
        <v/>
      </c>
      <c r="Q792" s="17">
        <f>IF(A792="","",IFERROR(P792/G792,""))</f>
        <v/>
      </c>
      <c r="R792" s="14">
        <f>IF(OR(A792="",G792=""),"",COUNTIFS($N$2:$N$1000,"&gt;0",$G$2:$G$1000,"&gt;"&amp;G792)+COUNTIFS($N$2:N792,"&gt;0",$G$2:G792,G792))</f>
        <v/>
      </c>
    </row>
    <row r="793">
      <c r="A793" s="9" t="n"/>
      <c r="B793" s="10" t="n"/>
      <c r="C793" s="10" t="n"/>
      <c r="D793" s="10" t="n"/>
      <c r="E793" s="10" t="n"/>
      <c r="F793" s="12" t="n"/>
      <c r="G793" s="13" t="n"/>
      <c r="H793" s="13" t="n"/>
      <c r="I793" s="13" t="n"/>
      <c r="J793" s="13" t="n"/>
      <c r="K793" s="13" t="n"/>
      <c r="L793" s="10" t="n"/>
      <c r="M793" s="10" t="n"/>
      <c r="N793" s="14">
        <f>IF(A793="","",WEEKNUM(A793,2))</f>
        <v/>
      </c>
      <c r="O793" s="15">
        <f>IF(OR(A793="",F793=""),"",LOOKUP(F793,Lists!$F$2:$F$5,Lists!$G$2:$G$5))</f>
        <v/>
      </c>
      <c r="P793" s="16">
        <f>IF(A793="","",SUM(H793:K793))</f>
        <v/>
      </c>
      <c r="Q793" s="17">
        <f>IF(A793="","",IFERROR(P793/G793,""))</f>
        <v/>
      </c>
      <c r="R793" s="14">
        <f>IF(OR(A793="",G793=""),"",COUNTIFS($N$2:$N$1000,"&gt;0",$G$2:$G$1000,"&gt;"&amp;G793)+COUNTIFS($N$2:N793,"&gt;0",$G$2:G793,G793))</f>
        <v/>
      </c>
    </row>
    <row r="794">
      <c r="A794" s="9" t="n"/>
      <c r="B794" s="10" t="n"/>
      <c r="C794" s="10" t="n"/>
      <c r="D794" s="10" t="n"/>
      <c r="E794" s="10" t="n"/>
      <c r="F794" s="12" t="n"/>
      <c r="G794" s="13" t="n"/>
      <c r="H794" s="13" t="n"/>
      <c r="I794" s="13" t="n"/>
      <c r="J794" s="13" t="n"/>
      <c r="K794" s="13" t="n"/>
      <c r="L794" s="10" t="n"/>
      <c r="M794" s="10" t="n"/>
      <c r="N794" s="14">
        <f>IF(A794="","",WEEKNUM(A794,2))</f>
        <v/>
      </c>
      <c r="O794" s="15">
        <f>IF(OR(A794="",F794=""),"",LOOKUP(F794,Lists!$F$2:$F$5,Lists!$G$2:$G$5))</f>
        <v/>
      </c>
      <c r="P794" s="16">
        <f>IF(A794="","",SUM(H794:K794))</f>
        <v/>
      </c>
      <c r="Q794" s="17">
        <f>IF(A794="","",IFERROR(P794/G794,""))</f>
        <v/>
      </c>
      <c r="R794" s="14">
        <f>IF(OR(A794="",G794=""),"",COUNTIFS($N$2:$N$1000,"&gt;0",$G$2:$G$1000,"&gt;"&amp;G794)+COUNTIFS($N$2:N794,"&gt;0",$G$2:G794,G794))</f>
        <v/>
      </c>
    </row>
    <row r="795">
      <c r="A795" s="9" t="n"/>
      <c r="B795" s="10" t="n"/>
      <c r="C795" s="10" t="n"/>
      <c r="D795" s="10" t="n"/>
      <c r="E795" s="10" t="n"/>
      <c r="F795" s="12" t="n"/>
      <c r="G795" s="13" t="n"/>
      <c r="H795" s="13" t="n"/>
      <c r="I795" s="13" t="n"/>
      <c r="J795" s="13" t="n"/>
      <c r="K795" s="13" t="n"/>
      <c r="L795" s="10" t="n"/>
      <c r="M795" s="10" t="n"/>
      <c r="N795" s="14">
        <f>IF(A795="","",WEEKNUM(A795,2))</f>
        <v/>
      </c>
      <c r="O795" s="15">
        <f>IF(OR(A795="",F795=""),"",LOOKUP(F795,Lists!$F$2:$F$5,Lists!$G$2:$G$5))</f>
        <v/>
      </c>
      <c r="P795" s="16">
        <f>IF(A795="","",SUM(H795:K795))</f>
        <v/>
      </c>
      <c r="Q795" s="17">
        <f>IF(A795="","",IFERROR(P795/G795,""))</f>
        <v/>
      </c>
      <c r="R795" s="14">
        <f>IF(OR(A795="",G795=""),"",COUNTIFS($N$2:$N$1000,"&gt;0",$G$2:$G$1000,"&gt;"&amp;G795)+COUNTIFS($N$2:N795,"&gt;0",$G$2:G795,G795))</f>
        <v/>
      </c>
    </row>
    <row r="796">
      <c r="A796" s="9" t="n"/>
      <c r="B796" s="10" t="n"/>
      <c r="C796" s="10" t="n"/>
      <c r="D796" s="10" t="n"/>
      <c r="E796" s="10" t="n"/>
      <c r="F796" s="12" t="n"/>
      <c r="G796" s="13" t="n"/>
      <c r="H796" s="13" t="n"/>
      <c r="I796" s="13" t="n"/>
      <c r="J796" s="13" t="n"/>
      <c r="K796" s="13" t="n"/>
      <c r="L796" s="10" t="n"/>
      <c r="M796" s="10" t="n"/>
      <c r="N796" s="14">
        <f>IF(A796="","",WEEKNUM(A796,2))</f>
        <v/>
      </c>
      <c r="O796" s="15">
        <f>IF(OR(A796="",F796=""),"",LOOKUP(F796,Lists!$F$2:$F$5,Lists!$G$2:$G$5))</f>
        <v/>
      </c>
      <c r="P796" s="16">
        <f>IF(A796="","",SUM(H796:K796))</f>
        <v/>
      </c>
      <c r="Q796" s="17">
        <f>IF(A796="","",IFERROR(P796/G796,""))</f>
        <v/>
      </c>
      <c r="R796" s="14">
        <f>IF(OR(A796="",G796=""),"",COUNTIFS($N$2:$N$1000,"&gt;0",$G$2:$G$1000,"&gt;"&amp;G796)+COUNTIFS($N$2:N796,"&gt;0",$G$2:G796,G796))</f>
        <v/>
      </c>
    </row>
    <row r="797">
      <c r="A797" s="9" t="n"/>
      <c r="B797" s="10" t="n"/>
      <c r="C797" s="10" t="n"/>
      <c r="D797" s="10" t="n"/>
      <c r="E797" s="10" t="n"/>
      <c r="F797" s="12" t="n"/>
      <c r="G797" s="13" t="n"/>
      <c r="H797" s="13" t="n"/>
      <c r="I797" s="13" t="n"/>
      <c r="J797" s="13" t="n"/>
      <c r="K797" s="13" t="n"/>
      <c r="L797" s="10" t="n"/>
      <c r="M797" s="10" t="n"/>
      <c r="N797" s="14">
        <f>IF(A797="","",WEEKNUM(A797,2))</f>
        <v/>
      </c>
      <c r="O797" s="15">
        <f>IF(OR(A797="",F797=""),"",LOOKUP(F797,Lists!$F$2:$F$5,Lists!$G$2:$G$5))</f>
        <v/>
      </c>
      <c r="P797" s="16">
        <f>IF(A797="","",SUM(H797:K797))</f>
        <v/>
      </c>
      <c r="Q797" s="17">
        <f>IF(A797="","",IFERROR(P797/G797,""))</f>
        <v/>
      </c>
      <c r="R797" s="14">
        <f>IF(OR(A797="",G797=""),"",COUNTIFS($N$2:$N$1000,"&gt;0",$G$2:$G$1000,"&gt;"&amp;G797)+COUNTIFS($N$2:N797,"&gt;0",$G$2:G797,G797))</f>
        <v/>
      </c>
    </row>
    <row r="798">
      <c r="A798" s="9" t="n"/>
      <c r="B798" s="10" t="n"/>
      <c r="C798" s="10" t="n"/>
      <c r="D798" s="10" t="n"/>
      <c r="E798" s="10" t="n"/>
      <c r="F798" s="12" t="n"/>
      <c r="G798" s="13" t="n"/>
      <c r="H798" s="13" t="n"/>
      <c r="I798" s="13" t="n"/>
      <c r="J798" s="13" t="n"/>
      <c r="K798" s="13" t="n"/>
      <c r="L798" s="10" t="n"/>
      <c r="M798" s="10" t="n"/>
      <c r="N798" s="14">
        <f>IF(A798="","",WEEKNUM(A798,2))</f>
        <v/>
      </c>
      <c r="O798" s="15">
        <f>IF(OR(A798="",F798=""),"",LOOKUP(F798,Lists!$F$2:$F$5,Lists!$G$2:$G$5))</f>
        <v/>
      </c>
      <c r="P798" s="16">
        <f>IF(A798="","",SUM(H798:K798))</f>
        <v/>
      </c>
      <c r="Q798" s="17">
        <f>IF(A798="","",IFERROR(P798/G798,""))</f>
        <v/>
      </c>
      <c r="R798" s="14">
        <f>IF(OR(A798="",G798=""),"",COUNTIFS($N$2:$N$1000,"&gt;0",$G$2:$G$1000,"&gt;"&amp;G798)+COUNTIFS($N$2:N798,"&gt;0",$G$2:G798,G798))</f>
        <v/>
      </c>
    </row>
    <row r="799">
      <c r="A799" s="9" t="n"/>
      <c r="B799" s="10" t="n"/>
      <c r="C799" s="10" t="n"/>
      <c r="D799" s="10" t="n"/>
      <c r="E799" s="10" t="n"/>
      <c r="F799" s="12" t="n"/>
      <c r="G799" s="13" t="n"/>
      <c r="H799" s="13" t="n"/>
      <c r="I799" s="13" t="n"/>
      <c r="J799" s="13" t="n"/>
      <c r="K799" s="13" t="n"/>
      <c r="L799" s="10" t="n"/>
      <c r="M799" s="10" t="n"/>
      <c r="N799" s="14">
        <f>IF(A799="","",WEEKNUM(A799,2))</f>
        <v/>
      </c>
      <c r="O799" s="15">
        <f>IF(OR(A799="",F799=""),"",LOOKUP(F799,Lists!$F$2:$F$5,Lists!$G$2:$G$5))</f>
        <v/>
      </c>
      <c r="P799" s="16">
        <f>IF(A799="","",SUM(H799:K799))</f>
        <v/>
      </c>
      <c r="Q799" s="17">
        <f>IF(A799="","",IFERROR(P799/G799,""))</f>
        <v/>
      </c>
      <c r="R799" s="14">
        <f>IF(OR(A799="",G799=""),"",COUNTIFS($N$2:$N$1000,"&gt;0",$G$2:$G$1000,"&gt;"&amp;G799)+COUNTIFS($N$2:N799,"&gt;0",$G$2:G799,G799))</f>
        <v/>
      </c>
    </row>
    <row r="800">
      <c r="A800" s="9" t="n"/>
      <c r="B800" s="10" t="n"/>
      <c r="C800" s="10" t="n"/>
      <c r="D800" s="10" t="n"/>
      <c r="E800" s="10" t="n"/>
      <c r="F800" s="12" t="n"/>
      <c r="G800" s="13" t="n"/>
      <c r="H800" s="13" t="n"/>
      <c r="I800" s="13" t="n"/>
      <c r="J800" s="13" t="n"/>
      <c r="K800" s="13" t="n"/>
      <c r="L800" s="10" t="n"/>
      <c r="M800" s="10" t="n"/>
      <c r="N800" s="14">
        <f>IF(A800="","",WEEKNUM(A800,2))</f>
        <v/>
      </c>
      <c r="O800" s="15">
        <f>IF(OR(A800="",F800=""),"",LOOKUP(F800,Lists!$F$2:$F$5,Lists!$G$2:$G$5))</f>
        <v/>
      </c>
      <c r="P800" s="16">
        <f>IF(A800="","",SUM(H800:K800))</f>
        <v/>
      </c>
      <c r="Q800" s="17">
        <f>IF(A800="","",IFERROR(P800/G800,""))</f>
        <v/>
      </c>
      <c r="R800" s="14">
        <f>IF(OR(A800="",G800=""),"",COUNTIFS($N$2:$N$1000,"&gt;0",$G$2:$G$1000,"&gt;"&amp;G800)+COUNTIFS($N$2:N800,"&gt;0",$G$2:G800,G800))</f>
        <v/>
      </c>
    </row>
    <row r="801">
      <c r="A801" s="9" t="n"/>
      <c r="B801" s="10" t="n"/>
      <c r="C801" s="10" t="n"/>
      <c r="D801" s="10" t="n"/>
      <c r="E801" s="10" t="n"/>
      <c r="F801" s="12" t="n"/>
      <c r="G801" s="13" t="n"/>
      <c r="H801" s="13" t="n"/>
      <c r="I801" s="13" t="n"/>
      <c r="J801" s="13" t="n"/>
      <c r="K801" s="13" t="n"/>
      <c r="L801" s="10" t="n"/>
      <c r="M801" s="10" t="n"/>
      <c r="N801" s="14">
        <f>IF(A801="","",WEEKNUM(A801,2))</f>
        <v/>
      </c>
      <c r="O801" s="15">
        <f>IF(OR(A801="",F801=""),"",LOOKUP(F801,Lists!$F$2:$F$5,Lists!$G$2:$G$5))</f>
        <v/>
      </c>
      <c r="P801" s="16">
        <f>IF(A801="","",SUM(H801:K801))</f>
        <v/>
      </c>
      <c r="Q801" s="17">
        <f>IF(A801="","",IFERROR(P801/G801,""))</f>
        <v/>
      </c>
      <c r="R801" s="14">
        <f>IF(OR(A801="",G801=""),"",COUNTIFS($N$2:$N$1000,"&gt;0",$G$2:$G$1000,"&gt;"&amp;G801)+COUNTIFS($N$2:N801,"&gt;0",$G$2:G801,G801))</f>
        <v/>
      </c>
    </row>
    <row r="802">
      <c r="A802" s="9" t="n"/>
      <c r="B802" s="10" t="n"/>
      <c r="C802" s="10" t="n"/>
      <c r="D802" s="10" t="n"/>
      <c r="E802" s="10" t="n"/>
      <c r="F802" s="12" t="n"/>
      <c r="G802" s="13" t="n"/>
      <c r="H802" s="13" t="n"/>
      <c r="I802" s="13" t="n"/>
      <c r="J802" s="13" t="n"/>
      <c r="K802" s="13" t="n"/>
      <c r="L802" s="10" t="n"/>
      <c r="M802" s="10" t="n"/>
      <c r="N802" s="14">
        <f>IF(A802="","",WEEKNUM(A802,2))</f>
        <v/>
      </c>
      <c r="O802" s="15">
        <f>IF(OR(A802="",F802=""),"",LOOKUP(F802,Lists!$F$2:$F$5,Lists!$G$2:$G$5))</f>
        <v/>
      </c>
      <c r="P802" s="16">
        <f>IF(A802="","",SUM(H802:K802))</f>
        <v/>
      </c>
      <c r="Q802" s="17">
        <f>IF(A802="","",IFERROR(P802/G802,""))</f>
        <v/>
      </c>
      <c r="R802" s="14">
        <f>IF(OR(A802="",G802=""),"",COUNTIFS($N$2:$N$1000,"&gt;0",$G$2:$G$1000,"&gt;"&amp;G802)+COUNTIFS($N$2:N802,"&gt;0",$G$2:G802,G802))</f>
        <v/>
      </c>
    </row>
    <row r="803">
      <c r="A803" s="9" t="n"/>
      <c r="B803" s="10" t="n"/>
      <c r="C803" s="10" t="n"/>
      <c r="D803" s="10" t="n"/>
      <c r="E803" s="10" t="n"/>
      <c r="F803" s="12" t="n"/>
      <c r="G803" s="13" t="n"/>
      <c r="H803" s="13" t="n"/>
      <c r="I803" s="13" t="n"/>
      <c r="J803" s="13" t="n"/>
      <c r="K803" s="13" t="n"/>
      <c r="L803" s="10" t="n"/>
      <c r="M803" s="10" t="n"/>
      <c r="N803" s="14">
        <f>IF(A803="","",WEEKNUM(A803,2))</f>
        <v/>
      </c>
      <c r="O803" s="15">
        <f>IF(OR(A803="",F803=""),"",LOOKUP(F803,Lists!$F$2:$F$5,Lists!$G$2:$G$5))</f>
        <v/>
      </c>
      <c r="P803" s="16">
        <f>IF(A803="","",SUM(H803:K803))</f>
        <v/>
      </c>
      <c r="Q803" s="17">
        <f>IF(A803="","",IFERROR(P803/G803,""))</f>
        <v/>
      </c>
      <c r="R803" s="14">
        <f>IF(OR(A803="",G803=""),"",COUNTIFS($N$2:$N$1000,"&gt;0",$G$2:$G$1000,"&gt;"&amp;G803)+COUNTIFS($N$2:N803,"&gt;0",$G$2:G803,G803))</f>
        <v/>
      </c>
    </row>
    <row r="804">
      <c r="A804" s="9" t="n"/>
      <c r="B804" s="10" t="n"/>
      <c r="C804" s="10" t="n"/>
      <c r="D804" s="10" t="n"/>
      <c r="E804" s="10" t="n"/>
      <c r="F804" s="12" t="n"/>
      <c r="G804" s="13" t="n"/>
      <c r="H804" s="13" t="n"/>
      <c r="I804" s="13" t="n"/>
      <c r="J804" s="13" t="n"/>
      <c r="K804" s="13" t="n"/>
      <c r="L804" s="10" t="n"/>
      <c r="M804" s="10" t="n"/>
      <c r="N804" s="14">
        <f>IF(A804="","",WEEKNUM(A804,2))</f>
        <v/>
      </c>
      <c r="O804" s="15">
        <f>IF(OR(A804="",F804=""),"",LOOKUP(F804,Lists!$F$2:$F$5,Lists!$G$2:$G$5))</f>
        <v/>
      </c>
      <c r="P804" s="16">
        <f>IF(A804="","",SUM(H804:K804))</f>
        <v/>
      </c>
      <c r="Q804" s="17">
        <f>IF(A804="","",IFERROR(P804/G804,""))</f>
        <v/>
      </c>
      <c r="R804" s="14">
        <f>IF(OR(A804="",G804=""),"",COUNTIFS($N$2:$N$1000,"&gt;0",$G$2:$G$1000,"&gt;"&amp;G804)+COUNTIFS($N$2:N804,"&gt;0",$G$2:G804,G804))</f>
        <v/>
      </c>
    </row>
    <row r="805">
      <c r="A805" s="9" t="n"/>
      <c r="B805" s="10" t="n"/>
      <c r="C805" s="10" t="n"/>
      <c r="D805" s="10" t="n"/>
      <c r="E805" s="10" t="n"/>
      <c r="F805" s="12" t="n"/>
      <c r="G805" s="13" t="n"/>
      <c r="H805" s="13" t="n"/>
      <c r="I805" s="13" t="n"/>
      <c r="J805" s="13" t="n"/>
      <c r="K805" s="13" t="n"/>
      <c r="L805" s="10" t="n"/>
      <c r="M805" s="10" t="n"/>
      <c r="N805" s="14">
        <f>IF(A805="","",WEEKNUM(A805,2))</f>
        <v/>
      </c>
      <c r="O805" s="15">
        <f>IF(OR(A805="",F805=""),"",LOOKUP(F805,Lists!$F$2:$F$5,Lists!$G$2:$G$5))</f>
        <v/>
      </c>
      <c r="P805" s="16">
        <f>IF(A805="","",SUM(H805:K805))</f>
        <v/>
      </c>
      <c r="Q805" s="17">
        <f>IF(A805="","",IFERROR(P805/G805,""))</f>
        <v/>
      </c>
      <c r="R805" s="14">
        <f>IF(OR(A805="",G805=""),"",COUNTIFS($N$2:$N$1000,"&gt;0",$G$2:$G$1000,"&gt;"&amp;G805)+COUNTIFS($N$2:N805,"&gt;0",$G$2:G805,G805))</f>
        <v/>
      </c>
    </row>
    <row r="806">
      <c r="A806" s="9" t="n"/>
      <c r="B806" s="10" t="n"/>
      <c r="C806" s="10" t="n"/>
      <c r="D806" s="10" t="n"/>
      <c r="E806" s="10" t="n"/>
      <c r="F806" s="12" t="n"/>
      <c r="G806" s="13" t="n"/>
      <c r="H806" s="13" t="n"/>
      <c r="I806" s="13" t="n"/>
      <c r="J806" s="13" t="n"/>
      <c r="K806" s="13" t="n"/>
      <c r="L806" s="10" t="n"/>
      <c r="M806" s="10" t="n"/>
      <c r="N806" s="14">
        <f>IF(A806="","",WEEKNUM(A806,2))</f>
        <v/>
      </c>
      <c r="O806" s="15">
        <f>IF(OR(A806="",F806=""),"",LOOKUP(F806,Lists!$F$2:$F$5,Lists!$G$2:$G$5))</f>
        <v/>
      </c>
      <c r="P806" s="16">
        <f>IF(A806="","",SUM(H806:K806))</f>
        <v/>
      </c>
      <c r="Q806" s="17">
        <f>IF(A806="","",IFERROR(P806/G806,""))</f>
        <v/>
      </c>
      <c r="R806" s="14">
        <f>IF(OR(A806="",G806=""),"",COUNTIFS($N$2:$N$1000,"&gt;0",$G$2:$G$1000,"&gt;"&amp;G806)+COUNTIFS($N$2:N806,"&gt;0",$G$2:G806,G806))</f>
        <v/>
      </c>
    </row>
    <row r="807">
      <c r="A807" s="9" t="n"/>
      <c r="B807" s="10" t="n"/>
      <c r="C807" s="10" t="n"/>
      <c r="D807" s="10" t="n"/>
      <c r="E807" s="10" t="n"/>
      <c r="F807" s="12" t="n"/>
      <c r="G807" s="13" t="n"/>
      <c r="H807" s="13" t="n"/>
      <c r="I807" s="13" t="n"/>
      <c r="J807" s="13" t="n"/>
      <c r="K807" s="13" t="n"/>
      <c r="L807" s="10" t="n"/>
      <c r="M807" s="10" t="n"/>
      <c r="N807" s="14">
        <f>IF(A807="","",WEEKNUM(A807,2))</f>
        <v/>
      </c>
      <c r="O807" s="15">
        <f>IF(OR(A807="",F807=""),"",LOOKUP(F807,Lists!$F$2:$F$5,Lists!$G$2:$G$5))</f>
        <v/>
      </c>
      <c r="P807" s="16">
        <f>IF(A807="","",SUM(H807:K807))</f>
        <v/>
      </c>
      <c r="Q807" s="17">
        <f>IF(A807="","",IFERROR(P807/G807,""))</f>
        <v/>
      </c>
      <c r="R807" s="14">
        <f>IF(OR(A807="",G807=""),"",COUNTIFS($N$2:$N$1000,"&gt;0",$G$2:$G$1000,"&gt;"&amp;G807)+COUNTIFS($N$2:N807,"&gt;0",$G$2:G807,G807))</f>
        <v/>
      </c>
    </row>
    <row r="808">
      <c r="A808" s="9" t="n"/>
      <c r="B808" s="10" t="n"/>
      <c r="C808" s="10" t="n"/>
      <c r="D808" s="10" t="n"/>
      <c r="E808" s="10" t="n"/>
      <c r="F808" s="12" t="n"/>
      <c r="G808" s="13" t="n"/>
      <c r="H808" s="13" t="n"/>
      <c r="I808" s="13" t="n"/>
      <c r="J808" s="13" t="n"/>
      <c r="K808" s="13" t="n"/>
      <c r="L808" s="10" t="n"/>
      <c r="M808" s="10" t="n"/>
      <c r="N808" s="14">
        <f>IF(A808="","",WEEKNUM(A808,2))</f>
        <v/>
      </c>
      <c r="O808" s="15">
        <f>IF(OR(A808="",F808=""),"",LOOKUP(F808,Lists!$F$2:$F$5,Lists!$G$2:$G$5))</f>
        <v/>
      </c>
      <c r="P808" s="16">
        <f>IF(A808="","",SUM(H808:K808))</f>
        <v/>
      </c>
      <c r="Q808" s="17">
        <f>IF(A808="","",IFERROR(P808/G808,""))</f>
        <v/>
      </c>
      <c r="R808" s="14">
        <f>IF(OR(A808="",G808=""),"",COUNTIFS($N$2:$N$1000,"&gt;0",$G$2:$G$1000,"&gt;"&amp;G808)+COUNTIFS($N$2:N808,"&gt;0",$G$2:G808,G808))</f>
        <v/>
      </c>
    </row>
    <row r="809">
      <c r="A809" s="9" t="n"/>
      <c r="B809" s="10" t="n"/>
      <c r="C809" s="10" t="n"/>
      <c r="D809" s="10" t="n"/>
      <c r="E809" s="10" t="n"/>
      <c r="F809" s="12" t="n"/>
      <c r="G809" s="13" t="n"/>
      <c r="H809" s="13" t="n"/>
      <c r="I809" s="13" t="n"/>
      <c r="J809" s="13" t="n"/>
      <c r="K809" s="13" t="n"/>
      <c r="L809" s="10" t="n"/>
      <c r="M809" s="10" t="n"/>
      <c r="N809" s="14">
        <f>IF(A809="","",WEEKNUM(A809,2))</f>
        <v/>
      </c>
      <c r="O809" s="15">
        <f>IF(OR(A809="",F809=""),"",LOOKUP(F809,Lists!$F$2:$F$5,Lists!$G$2:$G$5))</f>
        <v/>
      </c>
      <c r="P809" s="16">
        <f>IF(A809="","",SUM(H809:K809))</f>
        <v/>
      </c>
      <c r="Q809" s="17">
        <f>IF(A809="","",IFERROR(P809/G809,""))</f>
        <v/>
      </c>
      <c r="R809" s="14">
        <f>IF(OR(A809="",G809=""),"",COUNTIFS($N$2:$N$1000,"&gt;0",$G$2:$G$1000,"&gt;"&amp;G809)+COUNTIFS($N$2:N809,"&gt;0",$G$2:G809,G809))</f>
        <v/>
      </c>
    </row>
    <row r="810">
      <c r="A810" s="9" t="n"/>
      <c r="B810" s="10" t="n"/>
      <c r="C810" s="10" t="n"/>
      <c r="D810" s="10" t="n"/>
      <c r="E810" s="10" t="n"/>
      <c r="F810" s="12" t="n"/>
      <c r="G810" s="13" t="n"/>
      <c r="H810" s="13" t="n"/>
      <c r="I810" s="13" t="n"/>
      <c r="J810" s="13" t="n"/>
      <c r="K810" s="13" t="n"/>
      <c r="L810" s="10" t="n"/>
      <c r="M810" s="10" t="n"/>
      <c r="N810" s="14">
        <f>IF(A810="","",WEEKNUM(A810,2))</f>
        <v/>
      </c>
      <c r="O810" s="15">
        <f>IF(OR(A810="",F810=""),"",LOOKUP(F810,Lists!$F$2:$F$5,Lists!$G$2:$G$5))</f>
        <v/>
      </c>
      <c r="P810" s="16">
        <f>IF(A810="","",SUM(H810:K810))</f>
        <v/>
      </c>
      <c r="Q810" s="17">
        <f>IF(A810="","",IFERROR(P810/G810,""))</f>
        <v/>
      </c>
      <c r="R810" s="14">
        <f>IF(OR(A810="",G810=""),"",COUNTIFS($N$2:$N$1000,"&gt;0",$G$2:$G$1000,"&gt;"&amp;G810)+COUNTIFS($N$2:N810,"&gt;0",$G$2:G810,G810))</f>
        <v/>
      </c>
    </row>
    <row r="811">
      <c r="A811" s="9" t="n"/>
      <c r="B811" s="10" t="n"/>
      <c r="C811" s="10" t="n"/>
      <c r="D811" s="10" t="n"/>
      <c r="E811" s="10" t="n"/>
      <c r="F811" s="12" t="n"/>
      <c r="G811" s="13" t="n"/>
      <c r="H811" s="13" t="n"/>
      <c r="I811" s="13" t="n"/>
      <c r="J811" s="13" t="n"/>
      <c r="K811" s="13" t="n"/>
      <c r="L811" s="10" t="n"/>
      <c r="M811" s="10" t="n"/>
      <c r="N811" s="14">
        <f>IF(A811="","",WEEKNUM(A811,2))</f>
        <v/>
      </c>
      <c r="O811" s="15">
        <f>IF(OR(A811="",F811=""),"",LOOKUP(F811,Lists!$F$2:$F$5,Lists!$G$2:$G$5))</f>
        <v/>
      </c>
      <c r="P811" s="16">
        <f>IF(A811="","",SUM(H811:K811))</f>
        <v/>
      </c>
      <c r="Q811" s="17">
        <f>IF(A811="","",IFERROR(P811/G811,""))</f>
        <v/>
      </c>
      <c r="R811" s="14">
        <f>IF(OR(A811="",G811=""),"",COUNTIFS($N$2:$N$1000,"&gt;0",$G$2:$G$1000,"&gt;"&amp;G811)+COUNTIFS($N$2:N811,"&gt;0",$G$2:G811,G811))</f>
        <v/>
      </c>
    </row>
    <row r="812">
      <c r="A812" s="9" t="n"/>
      <c r="B812" s="10" t="n"/>
      <c r="C812" s="10" t="n"/>
      <c r="D812" s="10" t="n"/>
      <c r="E812" s="10" t="n"/>
      <c r="F812" s="12" t="n"/>
      <c r="G812" s="13" t="n"/>
      <c r="H812" s="13" t="n"/>
      <c r="I812" s="13" t="n"/>
      <c r="J812" s="13" t="n"/>
      <c r="K812" s="13" t="n"/>
      <c r="L812" s="10" t="n"/>
      <c r="M812" s="10" t="n"/>
      <c r="N812" s="14">
        <f>IF(A812="","",WEEKNUM(A812,2))</f>
        <v/>
      </c>
      <c r="O812" s="15">
        <f>IF(OR(A812="",F812=""),"",LOOKUP(F812,Lists!$F$2:$F$5,Lists!$G$2:$G$5))</f>
        <v/>
      </c>
      <c r="P812" s="16">
        <f>IF(A812="","",SUM(H812:K812))</f>
        <v/>
      </c>
      <c r="Q812" s="17">
        <f>IF(A812="","",IFERROR(P812/G812,""))</f>
        <v/>
      </c>
      <c r="R812" s="14">
        <f>IF(OR(A812="",G812=""),"",COUNTIFS($N$2:$N$1000,"&gt;0",$G$2:$G$1000,"&gt;"&amp;G812)+COUNTIFS($N$2:N812,"&gt;0",$G$2:G812,G812))</f>
        <v/>
      </c>
    </row>
    <row r="813">
      <c r="A813" s="9" t="n"/>
      <c r="B813" s="10" t="n"/>
      <c r="C813" s="10" t="n"/>
      <c r="D813" s="10" t="n"/>
      <c r="E813" s="10" t="n"/>
      <c r="F813" s="12" t="n"/>
      <c r="G813" s="13" t="n"/>
      <c r="H813" s="13" t="n"/>
      <c r="I813" s="13" t="n"/>
      <c r="J813" s="13" t="n"/>
      <c r="K813" s="13" t="n"/>
      <c r="L813" s="10" t="n"/>
      <c r="M813" s="10" t="n"/>
      <c r="N813" s="14">
        <f>IF(A813="","",WEEKNUM(A813,2))</f>
        <v/>
      </c>
      <c r="O813" s="15">
        <f>IF(OR(A813="",F813=""),"",LOOKUP(F813,Lists!$F$2:$F$5,Lists!$G$2:$G$5))</f>
        <v/>
      </c>
      <c r="P813" s="16">
        <f>IF(A813="","",SUM(H813:K813))</f>
        <v/>
      </c>
      <c r="Q813" s="17">
        <f>IF(A813="","",IFERROR(P813/G813,""))</f>
        <v/>
      </c>
      <c r="R813" s="14">
        <f>IF(OR(A813="",G813=""),"",COUNTIFS($N$2:$N$1000,"&gt;0",$G$2:$G$1000,"&gt;"&amp;G813)+COUNTIFS($N$2:N813,"&gt;0",$G$2:G813,G813))</f>
        <v/>
      </c>
    </row>
    <row r="814">
      <c r="A814" s="9" t="n"/>
      <c r="B814" s="10" t="n"/>
      <c r="C814" s="10" t="n"/>
      <c r="D814" s="10" t="n"/>
      <c r="E814" s="10" t="n"/>
      <c r="F814" s="12" t="n"/>
      <c r="G814" s="13" t="n"/>
      <c r="H814" s="13" t="n"/>
      <c r="I814" s="13" t="n"/>
      <c r="J814" s="13" t="n"/>
      <c r="K814" s="13" t="n"/>
      <c r="L814" s="10" t="n"/>
      <c r="M814" s="10" t="n"/>
      <c r="N814" s="14">
        <f>IF(A814="","",WEEKNUM(A814,2))</f>
        <v/>
      </c>
      <c r="O814" s="15">
        <f>IF(OR(A814="",F814=""),"",LOOKUP(F814,Lists!$F$2:$F$5,Lists!$G$2:$G$5))</f>
        <v/>
      </c>
      <c r="P814" s="16">
        <f>IF(A814="","",SUM(H814:K814))</f>
        <v/>
      </c>
      <c r="Q814" s="17">
        <f>IF(A814="","",IFERROR(P814/G814,""))</f>
        <v/>
      </c>
      <c r="R814" s="14">
        <f>IF(OR(A814="",G814=""),"",COUNTIFS($N$2:$N$1000,"&gt;0",$G$2:$G$1000,"&gt;"&amp;G814)+COUNTIFS($N$2:N814,"&gt;0",$G$2:G814,G814))</f>
        <v/>
      </c>
    </row>
    <row r="815">
      <c r="A815" s="9" t="n"/>
      <c r="B815" s="10" t="n"/>
      <c r="C815" s="10" t="n"/>
      <c r="D815" s="10" t="n"/>
      <c r="E815" s="10" t="n"/>
      <c r="F815" s="12" t="n"/>
      <c r="G815" s="13" t="n"/>
      <c r="H815" s="13" t="n"/>
      <c r="I815" s="13" t="n"/>
      <c r="J815" s="13" t="n"/>
      <c r="K815" s="13" t="n"/>
      <c r="L815" s="10" t="n"/>
      <c r="M815" s="10" t="n"/>
      <c r="N815" s="14">
        <f>IF(A815="","",WEEKNUM(A815,2))</f>
        <v/>
      </c>
      <c r="O815" s="15">
        <f>IF(OR(A815="",F815=""),"",LOOKUP(F815,Lists!$F$2:$F$5,Lists!$G$2:$G$5))</f>
        <v/>
      </c>
      <c r="P815" s="16">
        <f>IF(A815="","",SUM(H815:K815))</f>
        <v/>
      </c>
      <c r="Q815" s="17">
        <f>IF(A815="","",IFERROR(P815/G815,""))</f>
        <v/>
      </c>
      <c r="R815" s="14">
        <f>IF(OR(A815="",G815=""),"",COUNTIFS($N$2:$N$1000,"&gt;0",$G$2:$G$1000,"&gt;"&amp;G815)+COUNTIFS($N$2:N815,"&gt;0",$G$2:G815,G815))</f>
        <v/>
      </c>
    </row>
    <row r="816">
      <c r="A816" s="9" t="n"/>
      <c r="B816" s="10" t="n"/>
      <c r="C816" s="10" t="n"/>
      <c r="D816" s="10" t="n"/>
      <c r="E816" s="10" t="n"/>
      <c r="F816" s="12" t="n"/>
      <c r="G816" s="13" t="n"/>
      <c r="H816" s="13" t="n"/>
      <c r="I816" s="13" t="n"/>
      <c r="J816" s="13" t="n"/>
      <c r="K816" s="13" t="n"/>
      <c r="L816" s="10" t="n"/>
      <c r="M816" s="10" t="n"/>
      <c r="N816" s="14">
        <f>IF(A816="","",WEEKNUM(A816,2))</f>
        <v/>
      </c>
      <c r="O816" s="15">
        <f>IF(OR(A816="",F816=""),"",LOOKUP(F816,Lists!$F$2:$F$5,Lists!$G$2:$G$5))</f>
        <v/>
      </c>
      <c r="P816" s="16">
        <f>IF(A816="","",SUM(H816:K816))</f>
        <v/>
      </c>
      <c r="Q816" s="17">
        <f>IF(A816="","",IFERROR(P816/G816,""))</f>
        <v/>
      </c>
      <c r="R816" s="14">
        <f>IF(OR(A816="",G816=""),"",COUNTIFS($N$2:$N$1000,"&gt;0",$G$2:$G$1000,"&gt;"&amp;G816)+COUNTIFS($N$2:N816,"&gt;0",$G$2:G816,G816))</f>
        <v/>
      </c>
    </row>
    <row r="817">
      <c r="A817" s="9" t="n"/>
      <c r="B817" s="10" t="n"/>
      <c r="C817" s="10" t="n"/>
      <c r="D817" s="10" t="n"/>
      <c r="E817" s="10" t="n"/>
      <c r="F817" s="12" t="n"/>
      <c r="G817" s="13" t="n"/>
      <c r="H817" s="13" t="n"/>
      <c r="I817" s="13" t="n"/>
      <c r="J817" s="13" t="n"/>
      <c r="K817" s="13" t="n"/>
      <c r="L817" s="10" t="n"/>
      <c r="M817" s="10" t="n"/>
      <c r="N817" s="14">
        <f>IF(A817="","",WEEKNUM(A817,2))</f>
        <v/>
      </c>
      <c r="O817" s="15">
        <f>IF(OR(A817="",F817=""),"",LOOKUP(F817,Lists!$F$2:$F$5,Lists!$G$2:$G$5))</f>
        <v/>
      </c>
      <c r="P817" s="16">
        <f>IF(A817="","",SUM(H817:K817))</f>
        <v/>
      </c>
      <c r="Q817" s="17">
        <f>IF(A817="","",IFERROR(P817/G817,""))</f>
        <v/>
      </c>
      <c r="R817" s="14">
        <f>IF(OR(A817="",G817=""),"",COUNTIFS($N$2:$N$1000,"&gt;0",$G$2:$G$1000,"&gt;"&amp;G817)+COUNTIFS($N$2:N817,"&gt;0",$G$2:G817,G817))</f>
        <v/>
      </c>
    </row>
    <row r="818">
      <c r="A818" s="9" t="n"/>
      <c r="B818" s="10" t="n"/>
      <c r="C818" s="10" t="n"/>
      <c r="D818" s="10" t="n"/>
      <c r="E818" s="10" t="n"/>
      <c r="F818" s="12" t="n"/>
      <c r="G818" s="13" t="n"/>
      <c r="H818" s="13" t="n"/>
      <c r="I818" s="13" t="n"/>
      <c r="J818" s="13" t="n"/>
      <c r="K818" s="13" t="n"/>
      <c r="L818" s="10" t="n"/>
      <c r="M818" s="10" t="n"/>
      <c r="N818" s="14">
        <f>IF(A818="","",WEEKNUM(A818,2))</f>
        <v/>
      </c>
      <c r="O818" s="15">
        <f>IF(OR(A818="",F818=""),"",LOOKUP(F818,Lists!$F$2:$F$5,Lists!$G$2:$G$5))</f>
        <v/>
      </c>
      <c r="P818" s="16">
        <f>IF(A818="","",SUM(H818:K818))</f>
        <v/>
      </c>
      <c r="Q818" s="17">
        <f>IF(A818="","",IFERROR(P818/G818,""))</f>
        <v/>
      </c>
      <c r="R818" s="14">
        <f>IF(OR(A818="",G818=""),"",COUNTIFS($N$2:$N$1000,"&gt;0",$G$2:$G$1000,"&gt;"&amp;G818)+COUNTIFS($N$2:N818,"&gt;0",$G$2:G818,G818))</f>
        <v/>
      </c>
    </row>
    <row r="819">
      <c r="A819" s="9" t="n"/>
      <c r="B819" s="10" t="n"/>
      <c r="C819" s="10" t="n"/>
      <c r="D819" s="10" t="n"/>
      <c r="E819" s="10" t="n"/>
      <c r="F819" s="12" t="n"/>
      <c r="G819" s="13" t="n"/>
      <c r="H819" s="13" t="n"/>
      <c r="I819" s="13" t="n"/>
      <c r="J819" s="13" t="n"/>
      <c r="K819" s="13" t="n"/>
      <c r="L819" s="10" t="n"/>
      <c r="M819" s="10" t="n"/>
      <c r="N819" s="14">
        <f>IF(A819="","",WEEKNUM(A819,2))</f>
        <v/>
      </c>
      <c r="O819" s="15">
        <f>IF(OR(A819="",F819=""),"",LOOKUP(F819,Lists!$F$2:$F$5,Lists!$G$2:$G$5))</f>
        <v/>
      </c>
      <c r="P819" s="16">
        <f>IF(A819="","",SUM(H819:K819))</f>
        <v/>
      </c>
      <c r="Q819" s="17">
        <f>IF(A819="","",IFERROR(P819/G819,""))</f>
        <v/>
      </c>
      <c r="R819" s="14">
        <f>IF(OR(A819="",G819=""),"",COUNTIFS($N$2:$N$1000,"&gt;0",$G$2:$G$1000,"&gt;"&amp;G819)+COUNTIFS($N$2:N819,"&gt;0",$G$2:G819,G819))</f>
        <v/>
      </c>
    </row>
    <row r="820">
      <c r="A820" s="9" t="n"/>
      <c r="B820" s="10" t="n"/>
      <c r="C820" s="10" t="n"/>
      <c r="D820" s="10" t="n"/>
      <c r="E820" s="10" t="n"/>
      <c r="F820" s="12" t="n"/>
      <c r="G820" s="13" t="n"/>
      <c r="H820" s="13" t="n"/>
      <c r="I820" s="13" t="n"/>
      <c r="J820" s="13" t="n"/>
      <c r="K820" s="13" t="n"/>
      <c r="L820" s="10" t="n"/>
      <c r="M820" s="10" t="n"/>
      <c r="N820" s="14">
        <f>IF(A820="","",WEEKNUM(A820,2))</f>
        <v/>
      </c>
      <c r="O820" s="15">
        <f>IF(OR(A820="",F820=""),"",LOOKUP(F820,Lists!$F$2:$F$5,Lists!$G$2:$G$5))</f>
        <v/>
      </c>
      <c r="P820" s="16">
        <f>IF(A820="","",SUM(H820:K820))</f>
        <v/>
      </c>
      <c r="Q820" s="17">
        <f>IF(A820="","",IFERROR(P820/G820,""))</f>
        <v/>
      </c>
      <c r="R820" s="14">
        <f>IF(OR(A820="",G820=""),"",COUNTIFS($N$2:$N$1000,"&gt;0",$G$2:$G$1000,"&gt;"&amp;G820)+COUNTIFS($N$2:N820,"&gt;0",$G$2:G820,G820))</f>
        <v/>
      </c>
    </row>
    <row r="821">
      <c r="A821" s="9" t="n"/>
      <c r="B821" s="10" t="n"/>
      <c r="C821" s="10" t="n"/>
      <c r="D821" s="10" t="n"/>
      <c r="E821" s="10" t="n"/>
      <c r="F821" s="12" t="n"/>
      <c r="G821" s="13" t="n"/>
      <c r="H821" s="13" t="n"/>
      <c r="I821" s="13" t="n"/>
      <c r="J821" s="13" t="n"/>
      <c r="K821" s="13" t="n"/>
      <c r="L821" s="10" t="n"/>
      <c r="M821" s="10" t="n"/>
      <c r="N821" s="14">
        <f>IF(A821="","",WEEKNUM(A821,2))</f>
        <v/>
      </c>
      <c r="O821" s="15">
        <f>IF(OR(A821="",F821=""),"",LOOKUP(F821,Lists!$F$2:$F$5,Lists!$G$2:$G$5))</f>
        <v/>
      </c>
      <c r="P821" s="16">
        <f>IF(A821="","",SUM(H821:K821))</f>
        <v/>
      </c>
      <c r="Q821" s="17">
        <f>IF(A821="","",IFERROR(P821/G821,""))</f>
        <v/>
      </c>
      <c r="R821" s="14">
        <f>IF(OR(A821="",G821=""),"",COUNTIFS($N$2:$N$1000,"&gt;0",$G$2:$G$1000,"&gt;"&amp;G821)+COUNTIFS($N$2:N821,"&gt;0",$G$2:G821,G821))</f>
        <v/>
      </c>
    </row>
    <row r="822">
      <c r="A822" s="9" t="n"/>
      <c r="B822" s="10" t="n"/>
      <c r="C822" s="10" t="n"/>
      <c r="D822" s="10" t="n"/>
      <c r="E822" s="10" t="n"/>
      <c r="F822" s="12" t="n"/>
      <c r="G822" s="13" t="n"/>
      <c r="H822" s="13" t="n"/>
      <c r="I822" s="13" t="n"/>
      <c r="J822" s="13" t="n"/>
      <c r="K822" s="13" t="n"/>
      <c r="L822" s="10" t="n"/>
      <c r="M822" s="10" t="n"/>
      <c r="N822" s="14">
        <f>IF(A822="","",WEEKNUM(A822,2))</f>
        <v/>
      </c>
      <c r="O822" s="15">
        <f>IF(OR(A822="",F822=""),"",LOOKUP(F822,Lists!$F$2:$F$5,Lists!$G$2:$G$5))</f>
        <v/>
      </c>
      <c r="P822" s="16">
        <f>IF(A822="","",SUM(H822:K822))</f>
        <v/>
      </c>
      <c r="Q822" s="17">
        <f>IF(A822="","",IFERROR(P822/G822,""))</f>
        <v/>
      </c>
      <c r="R822" s="14">
        <f>IF(OR(A822="",G822=""),"",COUNTIFS($N$2:$N$1000,"&gt;0",$G$2:$G$1000,"&gt;"&amp;G822)+COUNTIFS($N$2:N822,"&gt;0",$G$2:G822,G822))</f>
        <v/>
      </c>
    </row>
    <row r="823">
      <c r="A823" s="9" t="n"/>
      <c r="B823" s="10" t="n"/>
      <c r="C823" s="10" t="n"/>
      <c r="D823" s="10" t="n"/>
      <c r="E823" s="10" t="n"/>
      <c r="F823" s="12" t="n"/>
      <c r="G823" s="13" t="n"/>
      <c r="H823" s="13" t="n"/>
      <c r="I823" s="13" t="n"/>
      <c r="J823" s="13" t="n"/>
      <c r="K823" s="13" t="n"/>
      <c r="L823" s="10" t="n"/>
      <c r="M823" s="10" t="n"/>
      <c r="N823" s="14">
        <f>IF(A823="","",WEEKNUM(A823,2))</f>
        <v/>
      </c>
      <c r="O823" s="15">
        <f>IF(OR(A823="",F823=""),"",LOOKUP(F823,Lists!$F$2:$F$5,Lists!$G$2:$G$5))</f>
        <v/>
      </c>
      <c r="P823" s="16">
        <f>IF(A823="","",SUM(H823:K823))</f>
        <v/>
      </c>
      <c r="Q823" s="17">
        <f>IF(A823="","",IFERROR(P823/G823,""))</f>
        <v/>
      </c>
      <c r="R823" s="14">
        <f>IF(OR(A823="",G823=""),"",COUNTIFS($N$2:$N$1000,"&gt;0",$G$2:$G$1000,"&gt;"&amp;G823)+COUNTIFS($N$2:N823,"&gt;0",$G$2:G823,G823))</f>
        <v/>
      </c>
    </row>
    <row r="824">
      <c r="A824" s="9" t="n"/>
      <c r="B824" s="10" t="n"/>
      <c r="C824" s="10" t="n"/>
      <c r="D824" s="10" t="n"/>
      <c r="E824" s="10" t="n"/>
      <c r="F824" s="12" t="n"/>
      <c r="G824" s="13" t="n"/>
      <c r="H824" s="13" t="n"/>
      <c r="I824" s="13" t="n"/>
      <c r="J824" s="13" t="n"/>
      <c r="K824" s="13" t="n"/>
      <c r="L824" s="10" t="n"/>
      <c r="M824" s="10" t="n"/>
      <c r="N824" s="14">
        <f>IF(A824="","",WEEKNUM(A824,2))</f>
        <v/>
      </c>
      <c r="O824" s="15">
        <f>IF(OR(A824="",F824=""),"",LOOKUP(F824,Lists!$F$2:$F$5,Lists!$G$2:$G$5))</f>
        <v/>
      </c>
      <c r="P824" s="16">
        <f>IF(A824="","",SUM(H824:K824))</f>
        <v/>
      </c>
      <c r="Q824" s="17">
        <f>IF(A824="","",IFERROR(P824/G824,""))</f>
        <v/>
      </c>
      <c r="R824" s="14">
        <f>IF(OR(A824="",G824=""),"",COUNTIFS($N$2:$N$1000,"&gt;0",$G$2:$G$1000,"&gt;"&amp;G824)+COUNTIFS($N$2:N824,"&gt;0",$G$2:G824,G824))</f>
        <v/>
      </c>
    </row>
    <row r="825">
      <c r="A825" s="9" t="n"/>
      <c r="B825" s="10" t="n"/>
      <c r="C825" s="10" t="n"/>
      <c r="D825" s="10" t="n"/>
      <c r="E825" s="10" t="n"/>
      <c r="F825" s="12" t="n"/>
      <c r="G825" s="13" t="n"/>
      <c r="H825" s="13" t="n"/>
      <c r="I825" s="13" t="n"/>
      <c r="J825" s="13" t="n"/>
      <c r="K825" s="13" t="n"/>
      <c r="L825" s="10" t="n"/>
      <c r="M825" s="10" t="n"/>
      <c r="N825" s="14">
        <f>IF(A825="","",WEEKNUM(A825,2))</f>
        <v/>
      </c>
      <c r="O825" s="15">
        <f>IF(OR(A825="",F825=""),"",LOOKUP(F825,Lists!$F$2:$F$5,Lists!$G$2:$G$5))</f>
        <v/>
      </c>
      <c r="P825" s="16">
        <f>IF(A825="","",SUM(H825:K825))</f>
        <v/>
      </c>
      <c r="Q825" s="17">
        <f>IF(A825="","",IFERROR(P825/G825,""))</f>
        <v/>
      </c>
      <c r="R825" s="14">
        <f>IF(OR(A825="",G825=""),"",COUNTIFS($N$2:$N$1000,"&gt;0",$G$2:$G$1000,"&gt;"&amp;G825)+COUNTIFS($N$2:N825,"&gt;0",$G$2:G825,G825))</f>
        <v/>
      </c>
    </row>
    <row r="826">
      <c r="A826" s="9" t="n"/>
      <c r="B826" s="10" t="n"/>
      <c r="C826" s="10" t="n"/>
      <c r="D826" s="10" t="n"/>
      <c r="E826" s="10" t="n"/>
      <c r="F826" s="12" t="n"/>
      <c r="G826" s="13" t="n"/>
      <c r="H826" s="13" t="n"/>
      <c r="I826" s="13" t="n"/>
      <c r="J826" s="13" t="n"/>
      <c r="K826" s="13" t="n"/>
      <c r="L826" s="10" t="n"/>
      <c r="M826" s="10" t="n"/>
      <c r="N826" s="14">
        <f>IF(A826="","",WEEKNUM(A826,2))</f>
        <v/>
      </c>
      <c r="O826" s="15">
        <f>IF(OR(A826="",F826=""),"",LOOKUP(F826,Lists!$F$2:$F$5,Lists!$G$2:$G$5))</f>
        <v/>
      </c>
      <c r="P826" s="16">
        <f>IF(A826="","",SUM(H826:K826))</f>
        <v/>
      </c>
      <c r="Q826" s="17">
        <f>IF(A826="","",IFERROR(P826/G826,""))</f>
        <v/>
      </c>
      <c r="R826" s="14">
        <f>IF(OR(A826="",G826=""),"",COUNTIFS($N$2:$N$1000,"&gt;0",$G$2:$G$1000,"&gt;"&amp;G826)+COUNTIFS($N$2:N826,"&gt;0",$G$2:G826,G826))</f>
        <v/>
      </c>
    </row>
    <row r="827">
      <c r="A827" s="9" t="n"/>
      <c r="B827" s="10" t="n"/>
      <c r="C827" s="10" t="n"/>
      <c r="D827" s="10" t="n"/>
      <c r="E827" s="10" t="n"/>
      <c r="F827" s="12" t="n"/>
      <c r="G827" s="13" t="n"/>
      <c r="H827" s="13" t="n"/>
      <c r="I827" s="13" t="n"/>
      <c r="J827" s="13" t="n"/>
      <c r="K827" s="13" t="n"/>
      <c r="L827" s="10" t="n"/>
      <c r="M827" s="10" t="n"/>
      <c r="N827" s="14">
        <f>IF(A827="","",WEEKNUM(A827,2))</f>
        <v/>
      </c>
      <c r="O827" s="15">
        <f>IF(OR(A827="",F827=""),"",LOOKUP(F827,Lists!$F$2:$F$5,Lists!$G$2:$G$5))</f>
        <v/>
      </c>
      <c r="P827" s="16">
        <f>IF(A827="","",SUM(H827:K827))</f>
        <v/>
      </c>
      <c r="Q827" s="17">
        <f>IF(A827="","",IFERROR(P827/G827,""))</f>
        <v/>
      </c>
      <c r="R827" s="14">
        <f>IF(OR(A827="",G827=""),"",COUNTIFS($N$2:$N$1000,"&gt;0",$G$2:$G$1000,"&gt;"&amp;G827)+COUNTIFS($N$2:N827,"&gt;0",$G$2:G827,G827))</f>
        <v/>
      </c>
    </row>
    <row r="828">
      <c r="A828" s="9" t="n"/>
      <c r="B828" s="10" t="n"/>
      <c r="C828" s="10" t="n"/>
      <c r="D828" s="10" t="n"/>
      <c r="E828" s="10" t="n"/>
      <c r="F828" s="12" t="n"/>
      <c r="G828" s="13" t="n"/>
      <c r="H828" s="13" t="n"/>
      <c r="I828" s="13" t="n"/>
      <c r="J828" s="13" t="n"/>
      <c r="K828" s="13" t="n"/>
      <c r="L828" s="10" t="n"/>
      <c r="M828" s="10" t="n"/>
      <c r="N828" s="14">
        <f>IF(A828="","",WEEKNUM(A828,2))</f>
        <v/>
      </c>
      <c r="O828" s="15">
        <f>IF(OR(A828="",F828=""),"",LOOKUP(F828,Lists!$F$2:$F$5,Lists!$G$2:$G$5))</f>
        <v/>
      </c>
      <c r="P828" s="16">
        <f>IF(A828="","",SUM(H828:K828))</f>
        <v/>
      </c>
      <c r="Q828" s="17">
        <f>IF(A828="","",IFERROR(P828/G828,""))</f>
        <v/>
      </c>
      <c r="R828" s="14">
        <f>IF(OR(A828="",G828=""),"",COUNTIFS($N$2:$N$1000,"&gt;0",$G$2:$G$1000,"&gt;"&amp;G828)+COUNTIFS($N$2:N828,"&gt;0",$G$2:G828,G828))</f>
        <v/>
      </c>
    </row>
    <row r="829">
      <c r="A829" s="9" t="n"/>
      <c r="B829" s="10" t="n"/>
      <c r="C829" s="10" t="n"/>
      <c r="D829" s="10" t="n"/>
      <c r="E829" s="10" t="n"/>
      <c r="F829" s="12" t="n"/>
      <c r="G829" s="13" t="n"/>
      <c r="H829" s="13" t="n"/>
      <c r="I829" s="13" t="n"/>
      <c r="J829" s="13" t="n"/>
      <c r="K829" s="13" t="n"/>
      <c r="L829" s="10" t="n"/>
      <c r="M829" s="10" t="n"/>
      <c r="N829" s="14">
        <f>IF(A829="","",WEEKNUM(A829,2))</f>
        <v/>
      </c>
      <c r="O829" s="15">
        <f>IF(OR(A829="",F829=""),"",LOOKUP(F829,Lists!$F$2:$F$5,Lists!$G$2:$G$5))</f>
        <v/>
      </c>
      <c r="P829" s="16">
        <f>IF(A829="","",SUM(H829:K829))</f>
        <v/>
      </c>
      <c r="Q829" s="17">
        <f>IF(A829="","",IFERROR(P829/G829,""))</f>
        <v/>
      </c>
      <c r="R829" s="14">
        <f>IF(OR(A829="",G829=""),"",COUNTIFS($N$2:$N$1000,"&gt;0",$G$2:$G$1000,"&gt;"&amp;G829)+COUNTIFS($N$2:N829,"&gt;0",$G$2:G829,G829))</f>
        <v/>
      </c>
    </row>
    <row r="830">
      <c r="A830" s="9" t="n"/>
      <c r="B830" s="10" t="n"/>
      <c r="C830" s="10" t="n"/>
      <c r="D830" s="10" t="n"/>
      <c r="E830" s="10" t="n"/>
      <c r="F830" s="12" t="n"/>
      <c r="G830" s="13" t="n"/>
      <c r="H830" s="13" t="n"/>
      <c r="I830" s="13" t="n"/>
      <c r="J830" s="13" t="n"/>
      <c r="K830" s="13" t="n"/>
      <c r="L830" s="10" t="n"/>
      <c r="M830" s="10" t="n"/>
      <c r="N830" s="14">
        <f>IF(A830="","",WEEKNUM(A830,2))</f>
        <v/>
      </c>
      <c r="O830" s="15">
        <f>IF(OR(A830="",F830=""),"",LOOKUP(F830,Lists!$F$2:$F$5,Lists!$G$2:$G$5))</f>
        <v/>
      </c>
      <c r="P830" s="16">
        <f>IF(A830="","",SUM(H830:K830))</f>
        <v/>
      </c>
      <c r="Q830" s="17">
        <f>IF(A830="","",IFERROR(P830/G830,""))</f>
        <v/>
      </c>
      <c r="R830" s="14">
        <f>IF(OR(A830="",G830=""),"",COUNTIFS($N$2:$N$1000,"&gt;0",$G$2:$G$1000,"&gt;"&amp;G830)+COUNTIFS($N$2:N830,"&gt;0",$G$2:G830,G830))</f>
        <v/>
      </c>
    </row>
    <row r="831">
      <c r="A831" s="9" t="n"/>
      <c r="B831" s="10" t="n"/>
      <c r="C831" s="10" t="n"/>
      <c r="D831" s="10" t="n"/>
      <c r="E831" s="10" t="n"/>
      <c r="F831" s="12" t="n"/>
      <c r="G831" s="13" t="n"/>
      <c r="H831" s="13" t="n"/>
      <c r="I831" s="13" t="n"/>
      <c r="J831" s="13" t="n"/>
      <c r="K831" s="13" t="n"/>
      <c r="L831" s="10" t="n"/>
      <c r="M831" s="10" t="n"/>
      <c r="N831" s="14">
        <f>IF(A831="","",WEEKNUM(A831,2))</f>
        <v/>
      </c>
      <c r="O831" s="15">
        <f>IF(OR(A831="",F831=""),"",LOOKUP(F831,Lists!$F$2:$F$5,Lists!$G$2:$G$5))</f>
        <v/>
      </c>
      <c r="P831" s="16">
        <f>IF(A831="","",SUM(H831:K831))</f>
        <v/>
      </c>
      <c r="Q831" s="17">
        <f>IF(A831="","",IFERROR(P831/G831,""))</f>
        <v/>
      </c>
      <c r="R831" s="14">
        <f>IF(OR(A831="",G831=""),"",COUNTIFS($N$2:$N$1000,"&gt;0",$G$2:$G$1000,"&gt;"&amp;G831)+COUNTIFS($N$2:N831,"&gt;0",$G$2:G831,G831))</f>
        <v/>
      </c>
    </row>
    <row r="832">
      <c r="A832" s="9" t="n"/>
      <c r="B832" s="10" t="n"/>
      <c r="C832" s="10" t="n"/>
      <c r="D832" s="10" t="n"/>
      <c r="E832" s="10" t="n"/>
      <c r="F832" s="12" t="n"/>
      <c r="G832" s="13" t="n"/>
      <c r="H832" s="13" t="n"/>
      <c r="I832" s="13" t="n"/>
      <c r="J832" s="13" t="n"/>
      <c r="K832" s="13" t="n"/>
      <c r="L832" s="10" t="n"/>
      <c r="M832" s="10" t="n"/>
      <c r="N832" s="14">
        <f>IF(A832="","",WEEKNUM(A832,2))</f>
        <v/>
      </c>
      <c r="O832" s="15">
        <f>IF(OR(A832="",F832=""),"",LOOKUP(F832,Lists!$F$2:$F$5,Lists!$G$2:$G$5))</f>
        <v/>
      </c>
      <c r="P832" s="16">
        <f>IF(A832="","",SUM(H832:K832))</f>
        <v/>
      </c>
      <c r="Q832" s="17">
        <f>IF(A832="","",IFERROR(P832/G832,""))</f>
        <v/>
      </c>
      <c r="R832" s="14">
        <f>IF(OR(A832="",G832=""),"",COUNTIFS($N$2:$N$1000,"&gt;0",$G$2:$G$1000,"&gt;"&amp;G832)+COUNTIFS($N$2:N832,"&gt;0",$G$2:G832,G832))</f>
        <v/>
      </c>
    </row>
    <row r="833">
      <c r="A833" s="9" t="n"/>
      <c r="B833" s="10" t="n"/>
      <c r="C833" s="10" t="n"/>
      <c r="D833" s="10" t="n"/>
      <c r="E833" s="10" t="n"/>
      <c r="F833" s="12" t="n"/>
      <c r="G833" s="13" t="n"/>
      <c r="H833" s="13" t="n"/>
      <c r="I833" s="13" t="n"/>
      <c r="J833" s="13" t="n"/>
      <c r="K833" s="13" t="n"/>
      <c r="L833" s="10" t="n"/>
      <c r="M833" s="10" t="n"/>
      <c r="N833" s="14">
        <f>IF(A833="","",WEEKNUM(A833,2))</f>
        <v/>
      </c>
      <c r="O833" s="15">
        <f>IF(OR(A833="",F833=""),"",LOOKUP(F833,Lists!$F$2:$F$5,Lists!$G$2:$G$5))</f>
        <v/>
      </c>
      <c r="P833" s="16">
        <f>IF(A833="","",SUM(H833:K833))</f>
        <v/>
      </c>
      <c r="Q833" s="17">
        <f>IF(A833="","",IFERROR(P833/G833,""))</f>
        <v/>
      </c>
      <c r="R833" s="14">
        <f>IF(OR(A833="",G833=""),"",COUNTIFS($N$2:$N$1000,"&gt;0",$G$2:$G$1000,"&gt;"&amp;G833)+COUNTIFS($N$2:N833,"&gt;0",$G$2:G833,G833))</f>
        <v/>
      </c>
    </row>
    <row r="834">
      <c r="A834" s="9" t="n"/>
      <c r="B834" s="10" t="n"/>
      <c r="C834" s="10" t="n"/>
      <c r="D834" s="10" t="n"/>
      <c r="E834" s="10" t="n"/>
      <c r="F834" s="12" t="n"/>
      <c r="G834" s="13" t="n"/>
      <c r="H834" s="13" t="n"/>
      <c r="I834" s="13" t="n"/>
      <c r="J834" s="13" t="n"/>
      <c r="K834" s="13" t="n"/>
      <c r="L834" s="10" t="n"/>
      <c r="M834" s="10" t="n"/>
      <c r="N834" s="14">
        <f>IF(A834="","",WEEKNUM(A834,2))</f>
        <v/>
      </c>
      <c r="O834" s="15">
        <f>IF(OR(A834="",F834=""),"",LOOKUP(F834,Lists!$F$2:$F$5,Lists!$G$2:$G$5))</f>
        <v/>
      </c>
      <c r="P834" s="16">
        <f>IF(A834="","",SUM(H834:K834))</f>
        <v/>
      </c>
      <c r="Q834" s="17">
        <f>IF(A834="","",IFERROR(P834/G834,""))</f>
        <v/>
      </c>
      <c r="R834" s="14">
        <f>IF(OR(A834="",G834=""),"",COUNTIFS($N$2:$N$1000,"&gt;0",$G$2:$G$1000,"&gt;"&amp;G834)+COUNTIFS($N$2:N834,"&gt;0",$G$2:G834,G834))</f>
        <v/>
      </c>
    </row>
    <row r="835">
      <c r="A835" s="9" t="n"/>
      <c r="B835" s="10" t="n"/>
      <c r="C835" s="10" t="n"/>
      <c r="D835" s="10" t="n"/>
      <c r="E835" s="10" t="n"/>
      <c r="F835" s="12" t="n"/>
      <c r="G835" s="13" t="n"/>
      <c r="H835" s="13" t="n"/>
      <c r="I835" s="13" t="n"/>
      <c r="J835" s="13" t="n"/>
      <c r="K835" s="13" t="n"/>
      <c r="L835" s="10" t="n"/>
      <c r="M835" s="10" t="n"/>
      <c r="N835" s="14">
        <f>IF(A835="","",WEEKNUM(A835,2))</f>
        <v/>
      </c>
      <c r="O835" s="15">
        <f>IF(OR(A835="",F835=""),"",LOOKUP(F835,Lists!$F$2:$F$5,Lists!$G$2:$G$5))</f>
        <v/>
      </c>
      <c r="P835" s="16">
        <f>IF(A835="","",SUM(H835:K835))</f>
        <v/>
      </c>
      <c r="Q835" s="17">
        <f>IF(A835="","",IFERROR(P835/G835,""))</f>
        <v/>
      </c>
      <c r="R835" s="14">
        <f>IF(OR(A835="",G835=""),"",COUNTIFS($N$2:$N$1000,"&gt;0",$G$2:$G$1000,"&gt;"&amp;G835)+COUNTIFS($N$2:N835,"&gt;0",$G$2:G835,G835))</f>
        <v/>
      </c>
    </row>
    <row r="836">
      <c r="A836" s="9" t="n"/>
      <c r="B836" s="10" t="n"/>
      <c r="C836" s="10" t="n"/>
      <c r="D836" s="10" t="n"/>
      <c r="E836" s="10" t="n"/>
      <c r="F836" s="12" t="n"/>
      <c r="G836" s="13" t="n"/>
      <c r="H836" s="13" t="n"/>
      <c r="I836" s="13" t="n"/>
      <c r="J836" s="13" t="n"/>
      <c r="K836" s="13" t="n"/>
      <c r="L836" s="10" t="n"/>
      <c r="M836" s="10" t="n"/>
      <c r="N836" s="14">
        <f>IF(A836="","",WEEKNUM(A836,2))</f>
        <v/>
      </c>
      <c r="O836" s="15">
        <f>IF(OR(A836="",F836=""),"",LOOKUP(F836,Lists!$F$2:$F$5,Lists!$G$2:$G$5))</f>
        <v/>
      </c>
      <c r="P836" s="16">
        <f>IF(A836="","",SUM(H836:K836))</f>
        <v/>
      </c>
      <c r="Q836" s="17">
        <f>IF(A836="","",IFERROR(P836/G836,""))</f>
        <v/>
      </c>
      <c r="R836" s="14">
        <f>IF(OR(A836="",G836=""),"",COUNTIFS($N$2:$N$1000,"&gt;0",$G$2:$G$1000,"&gt;"&amp;G836)+COUNTIFS($N$2:N836,"&gt;0",$G$2:G836,G836))</f>
        <v/>
      </c>
    </row>
    <row r="837">
      <c r="A837" s="9" t="n"/>
      <c r="B837" s="10" t="n"/>
      <c r="C837" s="10" t="n"/>
      <c r="D837" s="10" t="n"/>
      <c r="E837" s="10" t="n"/>
      <c r="F837" s="12" t="n"/>
      <c r="G837" s="13" t="n"/>
      <c r="H837" s="13" t="n"/>
      <c r="I837" s="13" t="n"/>
      <c r="J837" s="13" t="n"/>
      <c r="K837" s="13" t="n"/>
      <c r="L837" s="10" t="n"/>
      <c r="M837" s="10" t="n"/>
      <c r="N837" s="14">
        <f>IF(A837="","",WEEKNUM(A837,2))</f>
        <v/>
      </c>
      <c r="O837" s="15">
        <f>IF(OR(A837="",F837=""),"",LOOKUP(F837,Lists!$F$2:$F$5,Lists!$G$2:$G$5))</f>
        <v/>
      </c>
      <c r="P837" s="16">
        <f>IF(A837="","",SUM(H837:K837))</f>
        <v/>
      </c>
      <c r="Q837" s="17">
        <f>IF(A837="","",IFERROR(P837/G837,""))</f>
        <v/>
      </c>
      <c r="R837" s="14">
        <f>IF(OR(A837="",G837=""),"",COUNTIFS($N$2:$N$1000,"&gt;0",$G$2:$G$1000,"&gt;"&amp;G837)+COUNTIFS($N$2:N837,"&gt;0",$G$2:G837,G837))</f>
        <v/>
      </c>
    </row>
    <row r="838">
      <c r="A838" s="9" t="n"/>
      <c r="B838" s="10" t="n"/>
      <c r="C838" s="10" t="n"/>
      <c r="D838" s="10" t="n"/>
      <c r="E838" s="10" t="n"/>
      <c r="F838" s="12" t="n"/>
      <c r="G838" s="13" t="n"/>
      <c r="H838" s="13" t="n"/>
      <c r="I838" s="13" t="n"/>
      <c r="J838" s="13" t="n"/>
      <c r="K838" s="13" t="n"/>
      <c r="L838" s="10" t="n"/>
      <c r="M838" s="10" t="n"/>
      <c r="N838" s="14">
        <f>IF(A838="","",WEEKNUM(A838,2))</f>
        <v/>
      </c>
      <c r="O838" s="15">
        <f>IF(OR(A838="",F838=""),"",LOOKUP(F838,Lists!$F$2:$F$5,Lists!$G$2:$G$5))</f>
        <v/>
      </c>
      <c r="P838" s="16">
        <f>IF(A838="","",SUM(H838:K838))</f>
        <v/>
      </c>
      <c r="Q838" s="17">
        <f>IF(A838="","",IFERROR(P838/G838,""))</f>
        <v/>
      </c>
      <c r="R838" s="14">
        <f>IF(OR(A838="",G838=""),"",COUNTIFS($N$2:$N$1000,"&gt;0",$G$2:$G$1000,"&gt;"&amp;G838)+COUNTIFS($N$2:N838,"&gt;0",$G$2:G838,G838))</f>
        <v/>
      </c>
    </row>
    <row r="839">
      <c r="A839" s="9" t="n"/>
      <c r="B839" s="10" t="n"/>
      <c r="C839" s="10" t="n"/>
      <c r="D839" s="10" t="n"/>
      <c r="E839" s="10" t="n"/>
      <c r="F839" s="12" t="n"/>
      <c r="G839" s="13" t="n"/>
      <c r="H839" s="13" t="n"/>
      <c r="I839" s="13" t="n"/>
      <c r="J839" s="13" t="n"/>
      <c r="K839" s="13" t="n"/>
      <c r="L839" s="10" t="n"/>
      <c r="M839" s="10" t="n"/>
      <c r="N839" s="14">
        <f>IF(A839="","",WEEKNUM(A839,2))</f>
        <v/>
      </c>
      <c r="O839" s="15">
        <f>IF(OR(A839="",F839=""),"",LOOKUP(F839,Lists!$F$2:$F$5,Lists!$G$2:$G$5))</f>
        <v/>
      </c>
      <c r="P839" s="16">
        <f>IF(A839="","",SUM(H839:K839))</f>
        <v/>
      </c>
      <c r="Q839" s="17">
        <f>IF(A839="","",IFERROR(P839/G839,""))</f>
        <v/>
      </c>
      <c r="R839" s="14">
        <f>IF(OR(A839="",G839=""),"",COUNTIFS($N$2:$N$1000,"&gt;0",$G$2:$G$1000,"&gt;"&amp;G839)+COUNTIFS($N$2:N839,"&gt;0",$G$2:G839,G839))</f>
        <v/>
      </c>
    </row>
    <row r="840">
      <c r="A840" s="9" t="n"/>
      <c r="B840" s="10" t="n"/>
      <c r="C840" s="10" t="n"/>
      <c r="D840" s="10" t="n"/>
      <c r="E840" s="10" t="n"/>
      <c r="F840" s="12" t="n"/>
      <c r="G840" s="13" t="n"/>
      <c r="H840" s="13" t="n"/>
      <c r="I840" s="13" t="n"/>
      <c r="J840" s="13" t="n"/>
      <c r="K840" s="13" t="n"/>
      <c r="L840" s="10" t="n"/>
      <c r="M840" s="10" t="n"/>
      <c r="N840" s="14">
        <f>IF(A840="","",WEEKNUM(A840,2))</f>
        <v/>
      </c>
      <c r="O840" s="15">
        <f>IF(OR(A840="",F840=""),"",LOOKUP(F840,Lists!$F$2:$F$5,Lists!$G$2:$G$5))</f>
        <v/>
      </c>
      <c r="P840" s="16">
        <f>IF(A840="","",SUM(H840:K840))</f>
        <v/>
      </c>
      <c r="Q840" s="17">
        <f>IF(A840="","",IFERROR(P840/G840,""))</f>
        <v/>
      </c>
      <c r="R840" s="14">
        <f>IF(OR(A840="",G840=""),"",COUNTIFS($N$2:$N$1000,"&gt;0",$G$2:$G$1000,"&gt;"&amp;G840)+COUNTIFS($N$2:N840,"&gt;0",$G$2:G840,G840))</f>
        <v/>
      </c>
    </row>
    <row r="841">
      <c r="A841" s="9" t="n"/>
      <c r="B841" s="10" t="n"/>
      <c r="C841" s="10" t="n"/>
      <c r="D841" s="10" t="n"/>
      <c r="E841" s="10" t="n"/>
      <c r="F841" s="12" t="n"/>
      <c r="G841" s="13" t="n"/>
      <c r="H841" s="13" t="n"/>
      <c r="I841" s="13" t="n"/>
      <c r="J841" s="13" t="n"/>
      <c r="K841" s="13" t="n"/>
      <c r="L841" s="10" t="n"/>
      <c r="M841" s="10" t="n"/>
      <c r="N841" s="14">
        <f>IF(A841="","",WEEKNUM(A841,2))</f>
        <v/>
      </c>
      <c r="O841" s="15">
        <f>IF(OR(A841="",F841=""),"",LOOKUP(F841,Lists!$F$2:$F$5,Lists!$G$2:$G$5))</f>
        <v/>
      </c>
      <c r="P841" s="16">
        <f>IF(A841="","",SUM(H841:K841))</f>
        <v/>
      </c>
      <c r="Q841" s="17">
        <f>IF(A841="","",IFERROR(P841/G841,""))</f>
        <v/>
      </c>
      <c r="R841" s="14">
        <f>IF(OR(A841="",G841=""),"",COUNTIFS($N$2:$N$1000,"&gt;0",$G$2:$G$1000,"&gt;"&amp;G841)+COUNTIFS($N$2:N841,"&gt;0",$G$2:G841,G841))</f>
        <v/>
      </c>
    </row>
    <row r="842">
      <c r="A842" s="9" t="n"/>
      <c r="B842" s="10" t="n"/>
      <c r="C842" s="10" t="n"/>
      <c r="D842" s="10" t="n"/>
      <c r="E842" s="10" t="n"/>
      <c r="F842" s="12" t="n"/>
      <c r="G842" s="13" t="n"/>
      <c r="H842" s="13" t="n"/>
      <c r="I842" s="13" t="n"/>
      <c r="J842" s="13" t="n"/>
      <c r="K842" s="13" t="n"/>
      <c r="L842" s="10" t="n"/>
      <c r="M842" s="10" t="n"/>
      <c r="N842" s="14">
        <f>IF(A842="","",WEEKNUM(A842,2))</f>
        <v/>
      </c>
      <c r="O842" s="15">
        <f>IF(OR(A842="",F842=""),"",LOOKUP(F842,Lists!$F$2:$F$5,Lists!$G$2:$G$5))</f>
        <v/>
      </c>
      <c r="P842" s="16">
        <f>IF(A842="","",SUM(H842:K842))</f>
        <v/>
      </c>
      <c r="Q842" s="17">
        <f>IF(A842="","",IFERROR(P842/G842,""))</f>
        <v/>
      </c>
      <c r="R842" s="14">
        <f>IF(OR(A842="",G842=""),"",COUNTIFS($N$2:$N$1000,"&gt;0",$G$2:$G$1000,"&gt;"&amp;G842)+COUNTIFS($N$2:N842,"&gt;0",$G$2:G842,G842))</f>
        <v/>
      </c>
    </row>
    <row r="843">
      <c r="A843" s="9" t="n"/>
      <c r="B843" s="10" t="n"/>
      <c r="C843" s="10" t="n"/>
      <c r="D843" s="10" t="n"/>
      <c r="E843" s="10" t="n"/>
      <c r="F843" s="12" t="n"/>
      <c r="G843" s="13" t="n"/>
      <c r="H843" s="13" t="n"/>
      <c r="I843" s="13" t="n"/>
      <c r="J843" s="13" t="n"/>
      <c r="K843" s="13" t="n"/>
      <c r="L843" s="10" t="n"/>
      <c r="M843" s="10" t="n"/>
      <c r="N843" s="14">
        <f>IF(A843="","",WEEKNUM(A843,2))</f>
        <v/>
      </c>
      <c r="O843" s="15">
        <f>IF(OR(A843="",F843=""),"",LOOKUP(F843,Lists!$F$2:$F$5,Lists!$G$2:$G$5))</f>
        <v/>
      </c>
      <c r="P843" s="16">
        <f>IF(A843="","",SUM(H843:K843))</f>
        <v/>
      </c>
      <c r="Q843" s="17">
        <f>IF(A843="","",IFERROR(P843/G843,""))</f>
        <v/>
      </c>
      <c r="R843" s="14">
        <f>IF(OR(A843="",G843=""),"",COUNTIFS($N$2:$N$1000,"&gt;0",$G$2:$G$1000,"&gt;"&amp;G843)+COUNTIFS($N$2:N843,"&gt;0",$G$2:G843,G843))</f>
        <v/>
      </c>
    </row>
    <row r="844">
      <c r="A844" s="9" t="n"/>
      <c r="B844" s="10" t="n"/>
      <c r="C844" s="10" t="n"/>
      <c r="D844" s="10" t="n"/>
      <c r="E844" s="10" t="n"/>
      <c r="F844" s="12" t="n"/>
      <c r="G844" s="13" t="n"/>
      <c r="H844" s="13" t="n"/>
      <c r="I844" s="13" t="n"/>
      <c r="J844" s="13" t="n"/>
      <c r="K844" s="13" t="n"/>
      <c r="L844" s="10" t="n"/>
      <c r="M844" s="10" t="n"/>
      <c r="N844" s="14">
        <f>IF(A844="","",WEEKNUM(A844,2))</f>
        <v/>
      </c>
      <c r="O844" s="15">
        <f>IF(OR(A844="",F844=""),"",LOOKUP(F844,Lists!$F$2:$F$5,Lists!$G$2:$G$5))</f>
        <v/>
      </c>
      <c r="P844" s="16">
        <f>IF(A844="","",SUM(H844:K844))</f>
        <v/>
      </c>
      <c r="Q844" s="17">
        <f>IF(A844="","",IFERROR(P844/G844,""))</f>
        <v/>
      </c>
      <c r="R844" s="14">
        <f>IF(OR(A844="",G844=""),"",COUNTIFS($N$2:$N$1000,"&gt;0",$G$2:$G$1000,"&gt;"&amp;G844)+COUNTIFS($N$2:N844,"&gt;0",$G$2:G844,G844))</f>
        <v/>
      </c>
    </row>
    <row r="845">
      <c r="A845" s="9" t="n"/>
      <c r="B845" s="10" t="n"/>
      <c r="C845" s="10" t="n"/>
      <c r="D845" s="10" t="n"/>
      <c r="E845" s="10" t="n"/>
      <c r="F845" s="12" t="n"/>
      <c r="G845" s="13" t="n"/>
      <c r="H845" s="13" t="n"/>
      <c r="I845" s="13" t="n"/>
      <c r="J845" s="13" t="n"/>
      <c r="K845" s="13" t="n"/>
      <c r="L845" s="10" t="n"/>
      <c r="M845" s="10" t="n"/>
      <c r="N845" s="14">
        <f>IF(A845="","",WEEKNUM(A845,2))</f>
        <v/>
      </c>
      <c r="O845" s="15">
        <f>IF(OR(A845="",F845=""),"",LOOKUP(F845,Lists!$F$2:$F$5,Lists!$G$2:$G$5))</f>
        <v/>
      </c>
      <c r="P845" s="16">
        <f>IF(A845="","",SUM(H845:K845))</f>
        <v/>
      </c>
      <c r="Q845" s="17">
        <f>IF(A845="","",IFERROR(P845/G845,""))</f>
        <v/>
      </c>
      <c r="R845" s="14">
        <f>IF(OR(A845="",G845=""),"",COUNTIFS($N$2:$N$1000,"&gt;0",$G$2:$G$1000,"&gt;"&amp;G845)+COUNTIFS($N$2:N845,"&gt;0",$G$2:G845,G845))</f>
        <v/>
      </c>
    </row>
    <row r="846">
      <c r="A846" s="9" t="n"/>
      <c r="B846" s="10" t="n"/>
      <c r="C846" s="10" t="n"/>
      <c r="D846" s="10" t="n"/>
      <c r="E846" s="10" t="n"/>
      <c r="F846" s="12" t="n"/>
      <c r="G846" s="13" t="n"/>
      <c r="H846" s="13" t="n"/>
      <c r="I846" s="13" t="n"/>
      <c r="J846" s="13" t="n"/>
      <c r="K846" s="13" t="n"/>
      <c r="L846" s="10" t="n"/>
      <c r="M846" s="10" t="n"/>
      <c r="N846" s="14">
        <f>IF(A846="","",WEEKNUM(A846,2))</f>
        <v/>
      </c>
      <c r="O846" s="15">
        <f>IF(OR(A846="",F846=""),"",LOOKUP(F846,Lists!$F$2:$F$5,Lists!$G$2:$G$5))</f>
        <v/>
      </c>
      <c r="P846" s="16">
        <f>IF(A846="","",SUM(H846:K846))</f>
        <v/>
      </c>
      <c r="Q846" s="17">
        <f>IF(A846="","",IFERROR(P846/G846,""))</f>
        <v/>
      </c>
      <c r="R846" s="14">
        <f>IF(OR(A846="",G846=""),"",COUNTIFS($N$2:$N$1000,"&gt;0",$G$2:$G$1000,"&gt;"&amp;G846)+COUNTIFS($N$2:N846,"&gt;0",$G$2:G846,G846))</f>
        <v/>
      </c>
    </row>
    <row r="847">
      <c r="A847" s="9" t="n"/>
      <c r="B847" s="10" t="n"/>
      <c r="C847" s="10" t="n"/>
      <c r="D847" s="10" t="n"/>
      <c r="E847" s="10" t="n"/>
      <c r="F847" s="12" t="n"/>
      <c r="G847" s="13" t="n"/>
      <c r="H847" s="13" t="n"/>
      <c r="I847" s="13" t="n"/>
      <c r="J847" s="13" t="n"/>
      <c r="K847" s="13" t="n"/>
      <c r="L847" s="10" t="n"/>
      <c r="M847" s="10" t="n"/>
      <c r="N847" s="14">
        <f>IF(A847="","",WEEKNUM(A847,2))</f>
        <v/>
      </c>
      <c r="O847" s="15">
        <f>IF(OR(A847="",F847=""),"",LOOKUP(F847,Lists!$F$2:$F$5,Lists!$G$2:$G$5))</f>
        <v/>
      </c>
      <c r="P847" s="16">
        <f>IF(A847="","",SUM(H847:K847))</f>
        <v/>
      </c>
      <c r="Q847" s="17">
        <f>IF(A847="","",IFERROR(P847/G847,""))</f>
        <v/>
      </c>
      <c r="R847" s="14">
        <f>IF(OR(A847="",G847=""),"",COUNTIFS($N$2:$N$1000,"&gt;0",$G$2:$G$1000,"&gt;"&amp;G847)+COUNTIFS($N$2:N847,"&gt;0",$G$2:G847,G847))</f>
        <v/>
      </c>
    </row>
    <row r="848">
      <c r="A848" s="9" t="n"/>
      <c r="B848" s="10" t="n"/>
      <c r="C848" s="10" t="n"/>
      <c r="D848" s="10" t="n"/>
      <c r="E848" s="10" t="n"/>
      <c r="F848" s="12" t="n"/>
      <c r="G848" s="13" t="n"/>
      <c r="H848" s="13" t="n"/>
      <c r="I848" s="13" t="n"/>
      <c r="J848" s="13" t="n"/>
      <c r="K848" s="13" t="n"/>
      <c r="L848" s="10" t="n"/>
      <c r="M848" s="10" t="n"/>
      <c r="N848" s="14">
        <f>IF(A848="","",WEEKNUM(A848,2))</f>
        <v/>
      </c>
      <c r="O848" s="15">
        <f>IF(OR(A848="",F848=""),"",LOOKUP(F848,Lists!$F$2:$F$5,Lists!$G$2:$G$5))</f>
        <v/>
      </c>
      <c r="P848" s="16">
        <f>IF(A848="","",SUM(H848:K848))</f>
        <v/>
      </c>
      <c r="Q848" s="17">
        <f>IF(A848="","",IFERROR(P848/G848,""))</f>
        <v/>
      </c>
      <c r="R848" s="14">
        <f>IF(OR(A848="",G848=""),"",COUNTIFS($N$2:$N$1000,"&gt;0",$G$2:$G$1000,"&gt;"&amp;G848)+COUNTIFS($N$2:N848,"&gt;0",$G$2:G848,G848))</f>
        <v/>
      </c>
    </row>
    <row r="849">
      <c r="A849" s="9" t="n"/>
      <c r="B849" s="10" t="n"/>
      <c r="C849" s="10" t="n"/>
      <c r="D849" s="10" t="n"/>
      <c r="E849" s="10" t="n"/>
      <c r="F849" s="12" t="n"/>
      <c r="G849" s="13" t="n"/>
      <c r="H849" s="13" t="n"/>
      <c r="I849" s="13" t="n"/>
      <c r="J849" s="13" t="n"/>
      <c r="K849" s="13" t="n"/>
      <c r="L849" s="10" t="n"/>
      <c r="M849" s="10" t="n"/>
      <c r="N849" s="14">
        <f>IF(A849="","",WEEKNUM(A849,2))</f>
        <v/>
      </c>
      <c r="O849" s="15">
        <f>IF(OR(A849="",F849=""),"",LOOKUP(F849,Lists!$F$2:$F$5,Lists!$G$2:$G$5))</f>
        <v/>
      </c>
      <c r="P849" s="16">
        <f>IF(A849="","",SUM(H849:K849))</f>
        <v/>
      </c>
      <c r="Q849" s="17">
        <f>IF(A849="","",IFERROR(P849/G849,""))</f>
        <v/>
      </c>
      <c r="R849" s="14">
        <f>IF(OR(A849="",G849=""),"",COUNTIFS($N$2:$N$1000,"&gt;0",$G$2:$G$1000,"&gt;"&amp;G849)+COUNTIFS($N$2:N849,"&gt;0",$G$2:G849,G849))</f>
        <v/>
      </c>
    </row>
    <row r="850">
      <c r="A850" s="9" t="n"/>
      <c r="B850" s="10" t="n"/>
      <c r="C850" s="10" t="n"/>
      <c r="D850" s="10" t="n"/>
      <c r="E850" s="10" t="n"/>
      <c r="F850" s="12" t="n"/>
      <c r="G850" s="13" t="n"/>
      <c r="H850" s="13" t="n"/>
      <c r="I850" s="13" t="n"/>
      <c r="J850" s="13" t="n"/>
      <c r="K850" s="13" t="n"/>
      <c r="L850" s="10" t="n"/>
      <c r="M850" s="10" t="n"/>
      <c r="N850" s="14">
        <f>IF(A850="","",WEEKNUM(A850,2))</f>
        <v/>
      </c>
      <c r="O850" s="15">
        <f>IF(OR(A850="",F850=""),"",LOOKUP(F850,Lists!$F$2:$F$5,Lists!$G$2:$G$5))</f>
        <v/>
      </c>
      <c r="P850" s="16">
        <f>IF(A850="","",SUM(H850:K850))</f>
        <v/>
      </c>
      <c r="Q850" s="17">
        <f>IF(A850="","",IFERROR(P850/G850,""))</f>
        <v/>
      </c>
      <c r="R850" s="14">
        <f>IF(OR(A850="",G850=""),"",COUNTIFS($N$2:$N$1000,"&gt;0",$G$2:$G$1000,"&gt;"&amp;G850)+COUNTIFS($N$2:N850,"&gt;0",$G$2:G850,G850))</f>
        <v/>
      </c>
    </row>
    <row r="851">
      <c r="A851" s="9" t="n"/>
      <c r="B851" s="10" t="n"/>
      <c r="C851" s="10" t="n"/>
      <c r="D851" s="10" t="n"/>
      <c r="E851" s="10" t="n"/>
      <c r="F851" s="12" t="n"/>
      <c r="G851" s="13" t="n"/>
      <c r="H851" s="13" t="n"/>
      <c r="I851" s="13" t="n"/>
      <c r="J851" s="13" t="n"/>
      <c r="K851" s="13" t="n"/>
      <c r="L851" s="10" t="n"/>
      <c r="M851" s="10" t="n"/>
      <c r="N851" s="14">
        <f>IF(A851="","",WEEKNUM(A851,2))</f>
        <v/>
      </c>
      <c r="O851" s="15">
        <f>IF(OR(A851="",F851=""),"",LOOKUP(F851,Lists!$F$2:$F$5,Lists!$G$2:$G$5))</f>
        <v/>
      </c>
      <c r="P851" s="16">
        <f>IF(A851="","",SUM(H851:K851))</f>
        <v/>
      </c>
      <c r="Q851" s="17">
        <f>IF(A851="","",IFERROR(P851/G851,""))</f>
        <v/>
      </c>
      <c r="R851" s="14">
        <f>IF(OR(A851="",G851=""),"",COUNTIFS($N$2:$N$1000,"&gt;0",$G$2:$G$1000,"&gt;"&amp;G851)+COUNTIFS($N$2:N851,"&gt;0",$G$2:G851,G851))</f>
        <v/>
      </c>
    </row>
    <row r="852">
      <c r="A852" s="9" t="n"/>
      <c r="B852" s="10" t="n"/>
      <c r="C852" s="10" t="n"/>
      <c r="D852" s="10" t="n"/>
      <c r="E852" s="10" t="n"/>
      <c r="F852" s="12" t="n"/>
      <c r="G852" s="13" t="n"/>
      <c r="H852" s="13" t="n"/>
      <c r="I852" s="13" t="n"/>
      <c r="J852" s="13" t="n"/>
      <c r="K852" s="13" t="n"/>
      <c r="L852" s="10" t="n"/>
      <c r="M852" s="10" t="n"/>
      <c r="N852" s="14">
        <f>IF(A852="","",WEEKNUM(A852,2))</f>
        <v/>
      </c>
      <c r="O852" s="15">
        <f>IF(OR(A852="",F852=""),"",LOOKUP(F852,Lists!$F$2:$F$5,Lists!$G$2:$G$5))</f>
        <v/>
      </c>
      <c r="P852" s="16">
        <f>IF(A852="","",SUM(H852:K852))</f>
        <v/>
      </c>
      <c r="Q852" s="17">
        <f>IF(A852="","",IFERROR(P852/G852,""))</f>
        <v/>
      </c>
      <c r="R852" s="14">
        <f>IF(OR(A852="",G852=""),"",COUNTIFS($N$2:$N$1000,"&gt;0",$G$2:$G$1000,"&gt;"&amp;G852)+COUNTIFS($N$2:N852,"&gt;0",$G$2:G852,G852))</f>
        <v/>
      </c>
    </row>
    <row r="853">
      <c r="A853" s="9" t="n"/>
      <c r="B853" s="10" t="n"/>
      <c r="C853" s="10" t="n"/>
      <c r="D853" s="10" t="n"/>
      <c r="E853" s="10" t="n"/>
      <c r="F853" s="12" t="n"/>
      <c r="G853" s="13" t="n"/>
      <c r="H853" s="13" t="n"/>
      <c r="I853" s="13" t="n"/>
      <c r="J853" s="13" t="n"/>
      <c r="K853" s="13" t="n"/>
      <c r="L853" s="10" t="n"/>
      <c r="M853" s="10" t="n"/>
      <c r="N853" s="14">
        <f>IF(A853="","",WEEKNUM(A853,2))</f>
        <v/>
      </c>
      <c r="O853" s="15">
        <f>IF(OR(A853="",F853=""),"",LOOKUP(F853,Lists!$F$2:$F$5,Lists!$G$2:$G$5))</f>
        <v/>
      </c>
      <c r="P853" s="16">
        <f>IF(A853="","",SUM(H853:K853))</f>
        <v/>
      </c>
      <c r="Q853" s="17">
        <f>IF(A853="","",IFERROR(P853/G853,""))</f>
        <v/>
      </c>
      <c r="R853" s="14">
        <f>IF(OR(A853="",G853=""),"",COUNTIFS($N$2:$N$1000,"&gt;0",$G$2:$G$1000,"&gt;"&amp;G853)+COUNTIFS($N$2:N853,"&gt;0",$G$2:G853,G853))</f>
        <v/>
      </c>
    </row>
    <row r="854">
      <c r="A854" s="9" t="n"/>
      <c r="B854" s="10" t="n"/>
      <c r="C854" s="10" t="n"/>
      <c r="D854" s="10" t="n"/>
      <c r="E854" s="10" t="n"/>
      <c r="F854" s="12" t="n"/>
      <c r="G854" s="13" t="n"/>
      <c r="H854" s="13" t="n"/>
      <c r="I854" s="13" t="n"/>
      <c r="J854" s="13" t="n"/>
      <c r="K854" s="13" t="n"/>
      <c r="L854" s="10" t="n"/>
      <c r="M854" s="10" t="n"/>
      <c r="N854" s="14">
        <f>IF(A854="","",WEEKNUM(A854,2))</f>
        <v/>
      </c>
      <c r="O854" s="15">
        <f>IF(OR(A854="",F854=""),"",LOOKUP(F854,Lists!$F$2:$F$5,Lists!$G$2:$G$5))</f>
        <v/>
      </c>
      <c r="P854" s="16">
        <f>IF(A854="","",SUM(H854:K854))</f>
        <v/>
      </c>
      <c r="Q854" s="17">
        <f>IF(A854="","",IFERROR(P854/G854,""))</f>
        <v/>
      </c>
      <c r="R854" s="14">
        <f>IF(OR(A854="",G854=""),"",COUNTIFS($N$2:$N$1000,"&gt;0",$G$2:$G$1000,"&gt;"&amp;G854)+COUNTIFS($N$2:N854,"&gt;0",$G$2:G854,G854))</f>
        <v/>
      </c>
    </row>
    <row r="855">
      <c r="A855" s="9" t="n"/>
      <c r="B855" s="10" t="n"/>
      <c r="C855" s="10" t="n"/>
      <c r="D855" s="10" t="n"/>
      <c r="E855" s="10" t="n"/>
      <c r="F855" s="12" t="n"/>
      <c r="G855" s="13" t="n"/>
      <c r="H855" s="13" t="n"/>
      <c r="I855" s="13" t="n"/>
      <c r="J855" s="13" t="n"/>
      <c r="K855" s="13" t="n"/>
      <c r="L855" s="10" t="n"/>
      <c r="M855" s="10" t="n"/>
      <c r="N855" s="14">
        <f>IF(A855="","",WEEKNUM(A855,2))</f>
        <v/>
      </c>
      <c r="O855" s="15">
        <f>IF(OR(A855="",F855=""),"",LOOKUP(F855,Lists!$F$2:$F$5,Lists!$G$2:$G$5))</f>
        <v/>
      </c>
      <c r="P855" s="16">
        <f>IF(A855="","",SUM(H855:K855))</f>
        <v/>
      </c>
      <c r="Q855" s="17">
        <f>IF(A855="","",IFERROR(P855/G855,""))</f>
        <v/>
      </c>
      <c r="R855" s="14">
        <f>IF(OR(A855="",G855=""),"",COUNTIFS($N$2:$N$1000,"&gt;0",$G$2:$G$1000,"&gt;"&amp;G855)+COUNTIFS($N$2:N855,"&gt;0",$G$2:G855,G855))</f>
        <v/>
      </c>
    </row>
    <row r="856">
      <c r="A856" s="9" t="n"/>
      <c r="B856" s="10" t="n"/>
      <c r="C856" s="10" t="n"/>
      <c r="D856" s="10" t="n"/>
      <c r="E856" s="10" t="n"/>
      <c r="F856" s="12" t="n"/>
      <c r="G856" s="13" t="n"/>
      <c r="H856" s="13" t="n"/>
      <c r="I856" s="13" t="n"/>
      <c r="J856" s="13" t="n"/>
      <c r="K856" s="13" t="n"/>
      <c r="L856" s="10" t="n"/>
      <c r="M856" s="10" t="n"/>
      <c r="N856" s="14">
        <f>IF(A856="","",WEEKNUM(A856,2))</f>
        <v/>
      </c>
      <c r="O856" s="15">
        <f>IF(OR(A856="",F856=""),"",LOOKUP(F856,Lists!$F$2:$F$5,Lists!$G$2:$G$5))</f>
        <v/>
      </c>
      <c r="P856" s="16">
        <f>IF(A856="","",SUM(H856:K856))</f>
        <v/>
      </c>
      <c r="Q856" s="17">
        <f>IF(A856="","",IFERROR(P856/G856,""))</f>
        <v/>
      </c>
      <c r="R856" s="14">
        <f>IF(OR(A856="",G856=""),"",COUNTIFS($N$2:$N$1000,"&gt;0",$G$2:$G$1000,"&gt;"&amp;G856)+COUNTIFS($N$2:N856,"&gt;0",$G$2:G856,G856))</f>
        <v/>
      </c>
    </row>
    <row r="857">
      <c r="A857" s="9" t="n"/>
      <c r="B857" s="10" t="n"/>
      <c r="C857" s="10" t="n"/>
      <c r="D857" s="10" t="n"/>
      <c r="E857" s="10" t="n"/>
      <c r="F857" s="12" t="n"/>
      <c r="G857" s="13" t="n"/>
      <c r="H857" s="13" t="n"/>
      <c r="I857" s="13" t="n"/>
      <c r="J857" s="13" t="n"/>
      <c r="K857" s="13" t="n"/>
      <c r="L857" s="10" t="n"/>
      <c r="M857" s="10" t="n"/>
      <c r="N857" s="14">
        <f>IF(A857="","",WEEKNUM(A857,2))</f>
        <v/>
      </c>
      <c r="O857" s="15">
        <f>IF(OR(A857="",F857=""),"",LOOKUP(F857,Lists!$F$2:$F$5,Lists!$G$2:$G$5))</f>
        <v/>
      </c>
      <c r="P857" s="16">
        <f>IF(A857="","",SUM(H857:K857))</f>
        <v/>
      </c>
      <c r="Q857" s="17">
        <f>IF(A857="","",IFERROR(P857/G857,""))</f>
        <v/>
      </c>
      <c r="R857" s="14">
        <f>IF(OR(A857="",G857=""),"",COUNTIFS($N$2:$N$1000,"&gt;0",$G$2:$G$1000,"&gt;"&amp;G857)+COUNTIFS($N$2:N857,"&gt;0",$G$2:G857,G857))</f>
        <v/>
      </c>
    </row>
    <row r="858">
      <c r="A858" s="9" t="n"/>
      <c r="B858" s="10" t="n"/>
      <c r="C858" s="10" t="n"/>
      <c r="D858" s="10" t="n"/>
      <c r="E858" s="10" t="n"/>
      <c r="F858" s="12" t="n"/>
      <c r="G858" s="13" t="n"/>
      <c r="H858" s="13" t="n"/>
      <c r="I858" s="13" t="n"/>
      <c r="J858" s="13" t="n"/>
      <c r="K858" s="13" t="n"/>
      <c r="L858" s="10" t="n"/>
      <c r="M858" s="10" t="n"/>
      <c r="N858" s="14">
        <f>IF(A858="","",WEEKNUM(A858,2))</f>
        <v/>
      </c>
      <c r="O858" s="15">
        <f>IF(OR(A858="",F858=""),"",LOOKUP(F858,Lists!$F$2:$F$5,Lists!$G$2:$G$5))</f>
        <v/>
      </c>
      <c r="P858" s="16">
        <f>IF(A858="","",SUM(H858:K858))</f>
        <v/>
      </c>
      <c r="Q858" s="17">
        <f>IF(A858="","",IFERROR(P858/G858,""))</f>
        <v/>
      </c>
      <c r="R858" s="14">
        <f>IF(OR(A858="",G858=""),"",COUNTIFS($N$2:$N$1000,"&gt;0",$G$2:$G$1000,"&gt;"&amp;G858)+COUNTIFS($N$2:N858,"&gt;0",$G$2:G858,G858))</f>
        <v/>
      </c>
    </row>
    <row r="859">
      <c r="A859" s="9" t="n"/>
      <c r="B859" s="10" t="n"/>
      <c r="C859" s="10" t="n"/>
      <c r="D859" s="10" t="n"/>
      <c r="E859" s="10" t="n"/>
      <c r="F859" s="12" t="n"/>
      <c r="G859" s="13" t="n"/>
      <c r="H859" s="13" t="n"/>
      <c r="I859" s="13" t="n"/>
      <c r="J859" s="13" t="n"/>
      <c r="K859" s="13" t="n"/>
      <c r="L859" s="10" t="n"/>
      <c r="M859" s="10" t="n"/>
      <c r="N859" s="14">
        <f>IF(A859="","",WEEKNUM(A859,2))</f>
        <v/>
      </c>
      <c r="O859" s="15">
        <f>IF(OR(A859="",F859=""),"",LOOKUP(F859,Lists!$F$2:$F$5,Lists!$G$2:$G$5))</f>
        <v/>
      </c>
      <c r="P859" s="16">
        <f>IF(A859="","",SUM(H859:K859))</f>
        <v/>
      </c>
      <c r="Q859" s="17">
        <f>IF(A859="","",IFERROR(P859/G859,""))</f>
        <v/>
      </c>
      <c r="R859" s="14">
        <f>IF(OR(A859="",G859=""),"",COUNTIFS($N$2:$N$1000,"&gt;0",$G$2:$G$1000,"&gt;"&amp;G859)+COUNTIFS($N$2:N859,"&gt;0",$G$2:G859,G859))</f>
        <v/>
      </c>
    </row>
    <row r="860">
      <c r="A860" s="9" t="n"/>
      <c r="B860" s="10" t="n"/>
      <c r="C860" s="10" t="n"/>
      <c r="D860" s="10" t="n"/>
      <c r="E860" s="10" t="n"/>
      <c r="F860" s="12" t="n"/>
      <c r="G860" s="13" t="n"/>
      <c r="H860" s="13" t="n"/>
      <c r="I860" s="13" t="n"/>
      <c r="J860" s="13" t="n"/>
      <c r="K860" s="13" t="n"/>
      <c r="L860" s="10" t="n"/>
      <c r="M860" s="10" t="n"/>
      <c r="N860" s="14">
        <f>IF(A860="","",WEEKNUM(A860,2))</f>
        <v/>
      </c>
      <c r="O860" s="15">
        <f>IF(OR(A860="",F860=""),"",LOOKUP(F860,Lists!$F$2:$F$5,Lists!$G$2:$G$5))</f>
        <v/>
      </c>
      <c r="P860" s="16">
        <f>IF(A860="","",SUM(H860:K860))</f>
        <v/>
      </c>
      <c r="Q860" s="17">
        <f>IF(A860="","",IFERROR(P860/G860,""))</f>
        <v/>
      </c>
      <c r="R860" s="14">
        <f>IF(OR(A860="",G860=""),"",COUNTIFS($N$2:$N$1000,"&gt;0",$G$2:$G$1000,"&gt;"&amp;G860)+COUNTIFS($N$2:N860,"&gt;0",$G$2:G860,G860))</f>
        <v/>
      </c>
    </row>
    <row r="861">
      <c r="A861" s="9" t="n"/>
      <c r="B861" s="10" t="n"/>
      <c r="C861" s="10" t="n"/>
      <c r="D861" s="10" t="n"/>
      <c r="E861" s="10" t="n"/>
      <c r="F861" s="12" t="n"/>
      <c r="G861" s="13" t="n"/>
      <c r="H861" s="13" t="n"/>
      <c r="I861" s="13" t="n"/>
      <c r="J861" s="13" t="n"/>
      <c r="K861" s="13" t="n"/>
      <c r="L861" s="10" t="n"/>
      <c r="M861" s="10" t="n"/>
      <c r="N861" s="14">
        <f>IF(A861="","",WEEKNUM(A861,2))</f>
        <v/>
      </c>
      <c r="O861" s="15">
        <f>IF(OR(A861="",F861=""),"",LOOKUP(F861,Lists!$F$2:$F$5,Lists!$G$2:$G$5))</f>
        <v/>
      </c>
      <c r="P861" s="16">
        <f>IF(A861="","",SUM(H861:K861))</f>
        <v/>
      </c>
      <c r="Q861" s="17">
        <f>IF(A861="","",IFERROR(P861/G861,""))</f>
        <v/>
      </c>
      <c r="R861" s="14">
        <f>IF(OR(A861="",G861=""),"",COUNTIFS($N$2:$N$1000,"&gt;0",$G$2:$G$1000,"&gt;"&amp;G861)+COUNTIFS($N$2:N861,"&gt;0",$G$2:G861,G861))</f>
        <v/>
      </c>
    </row>
    <row r="862">
      <c r="A862" s="9" t="n"/>
      <c r="B862" s="10" t="n"/>
      <c r="C862" s="10" t="n"/>
      <c r="D862" s="10" t="n"/>
      <c r="E862" s="10" t="n"/>
      <c r="F862" s="12" t="n"/>
      <c r="G862" s="13" t="n"/>
      <c r="H862" s="13" t="n"/>
      <c r="I862" s="13" t="n"/>
      <c r="J862" s="13" t="n"/>
      <c r="K862" s="13" t="n"/>
      <c r="L862" s="10" t="n"/>
      <c r="M862" s="10" t="n"/>
      <c r="N862" s="14">
        <f>IF(A862="","",WEEKNUM(A862,2))</f>
        <v/>
      </c>
      <c r="O862" s="15">
        <f>IF(OR(A862="",F862=""),"",LOOKUP(F862,Lists!$F$2:$F$5,Lists!$G$2:$G$5))</f>
        <v/>
      </c>
      <c r="P862" s="16">
        <f>IF(A862="","",SUM(H862:K862))</f>
        <v/>
      </c>
      <c r="Q862" s="17">
        <f>IF(A862="","",IFERROR(P862/G862,""))</f>
        <v/>
      </c>
      <c r="R862" s="14">
        <f>IF(OR(A862="",G862=""),"",COUNTIFS($N$2:$N$1000,"&gt;0",$G$2:$G$1000,"&gt;"&amp;G862)+COUNTIFS($N$2:N862,"&gt;0",$G$2:G862,G862))</f>
        <v/>
      </c>
    </row>
    <row r="863">
      <c r="A863" s="9" t="n"/>
      <c r="B863" s="10" t="n"/>
      <c r="C863" s="10" t="n"/>
      <c r="D863" s="10" t="n"/>
      <c r="E863" s="10" t="n"/>
      <c r="F863" s="12" t="n"/>
      <c r="G863" s="13" t="n"/>
      <c r="H863" s="13" t="n"/>
      <c r="I863" s="13" t="n"/>
      <c r="J863" s="13" t="n"/>
      <c r="K863" s="13" t="n"/>
      <c r="L863" s="10" t="n"/>
      <c r="M863" s="10" t="n"/>
      <c r="N863" s="14">
        <f>IF(A863="","",WEEKNUM(A863,2))</f>
        <v/>
      </c>
      <c r="O863" s="15">
        <f>IF(OR(A863="",F863=""),"",LOOKUP(F863,Lists!$F$2:$F$5,Lists!$G$2:$G$5))</f>
        <v/>
      </c>
      <c r="P863" s="16">
        <f>IF(A863="","",SUM(H863:K863))</f>
        <v/>
      </c>
      <c r="Q863" s="17">
        <f>IF(A863="","",IFERROR(P863/G863,""))</f>
        <v/>
      </c>
      <c r="R863" s="14">
        <f>IF(OR(A863="",G863=""),"",COUNTIFS($N$2:$N$1000,"&gt;0",$G$2:$G$1000,"&gt;"&amp;G863)+COUNTIFS($N$2:N863,"&gt;0",$G$2:G863,G863))</f>
        <v/>
      </c>
    </row>
    <row r="864">
      <c r="A864" s="9" t="n"/>
      <c r="B864" s="10" t="n"/>
      <c r="C864" s="10" t="n"/>
      <c r="D864" s="10" t="n"/>
      <c r="E864" s="10" t="n"/>
      <c r="F864" s="12" t="n"/>
      <c r="G864" s="13" t="n"/>
      <c r="H864" s="13" t="n"/>
      <c r="I864" s="13" t="n"/>
      <c r="J864" s="13" t="n"/>
      <c r="K864" s="13" t="n"/>
      <c r="L864" s="10" t="n"/>
      <c r="M864" s="10" t="n"/>
      <c r="N864" s="14">
        <f>IF(A864="","",WEEKNUM(A864,2))</f>
        <v/>
      </c>
      <c r="O864" s="15">
        <f>IF(OR(A864="",F864=""),"",LOOKUP(F864,Lists!$F$2:$F$5,Lists!$G$2:$G$5))</f>
        <v/>
      </c>
      <c r="P864" s="16">
        <f>IF(A864="","",SUM(H864:K864))</f>
        <v/>
      </c>
      <c r="Q864" s="17">
        <f>IF(A864="","",IFERROR(P864/G864,""))</f>
        <v/>
      </c>
      <c r="R864" s="14">
        <f>IF(OR(A864="",G864=""),"",COUNTIFS($N$2:$N$1000,"&gt;0",$G$2:$G$1000,"&gt;"&amp;G864)+COUNTIFS($N$2:N864,"&gt;0",$G$2:G864,G864))</f>
        <v/>
      </c>
    </row>
    <row r="865">
      <c r="A865" s="9" t="n"/>
      <c r="B865" s="10" t="n"/>
      <c r="C865" s="10" t="n"/>
      <c r="D865" s="10" t="n"/>
      <c r="E865" s="10" t="n"/>
      <c r="F865" s="12" t="n"/>
      <c r="G865" s="13" t="n"/>
      <c r="H865" s="13" t="n"/>
      <c r="I865" s="13" t="n"/>
      <c r="J865" s="13" t="n"/>
      <c r="K865" s="13" t="n"/>
      <c r="L865" s="10" t="n"/>
      <c r="M865" s="10" t="n"/>
      <c r="N865" s="14">
        <f>IF(A865="","",WEEKNUM(A865,2))</f>
        <v/>
      </c>
      <c r="O865" s="15">
        <f>IF(OR(A865="",F865=""),"",LOOKUP(F865,Lists!$F$2:$F$5,Lists!$G$2:$G$5))</f>
        <v/>
      </c>
      <c r="P865" s="16">
        <f>IF(A865="","",SUM(H865:K865))</f>
        <v/>
      </c>
      <c r="Q865" s="17">
        <f>IF(A865="","",IFERROR(P865/G865,""))</f>
        <v/>
      </c>
      <c r="R865" s="14">
        <f>IF(OR(A865="",G865=""),"",COUNTIFS($N$2:$N$1000,"&gt;0",$G$2:$G$1000,"&gt;"&amp;G865)+COUNTIFS($N$2:N865,"&gt;0",$G$2:G865,G865))</f>
        <v/>
      </c>
    </row>
    <row r="866">
      <c r="A866" s="9" t="n"/>
      <c r="B866" s="10" t="n"/>
      <c r="C866" s="10" t="n"/>
      <c r="D866" s="10" t="n"/>
      <c r="E866" s="10" t="n"/>
      <c r="F866" s="12" t="n"/>
      <c r="G866" s="13" t="n"/>
      <c r="H866" s="13" t="n"/>
      <c r="I866" s="13" t="n"/>
      <c r="J866" s="13" t="n"/>
      <c r="K866" s="13" t="n"/>
      <c r="L866" s="10" t="n"/>
      <c r="M866" s="10" t="n"/>
      <c r="N866" s="14">
        <f>IF(A866="","",WEEKNUM(A866,2))</f>
        <v/>
      </c>
      <c r="O866" s="15">
        <f>IF(OR(A866="",F866=""),"",LOOKUP(F866,Lists!$F$2:$F$5,Lists!$G$2:$G$5))</f>
        <v/>
      </c>
      <c r="P866" s="16">
        <f>IF(A866="","",SUM(H866:K866))</f>
        <v/>
      </c>
      <c r="Q866" s="17">
        <f>IF(A866="","",IFERROR(P866/G866,""))</f>
        <v/>
      </c>
      <c r="R866" s="14">
        <f>IF(OR(A866="",G866=""),"",COUNTIFS($N$2:$N$1000,"&gt;0",$G$2:$G$1000,"&gt;"&amp;G866)+COUNTIFS($N$2:N866,"&gt;0",$G$2:G866,G866))</f>
        <v/>
      </c>
    </row>
    <row r="867">
      <c r="A867" s="9" t="n"/>
      <c r="B867" s="10" t="n"/>
      <c r="C867" s="10" t="n"/>
      <c r="D867" s="10" t="n"/>
      <c r="E867" s="10" t="n"/>
      <c r="F867" s="12" t="n"/>
      <c r="G867" s="13" t="n"/>
      <c r="H867" s="13" t="n"/>
      <c r="I867" s="13" t="n"/>
      <c r="J867" s="13" t="n"/>
      <c r="K867" s="13" t="n"/>
      <c r="L867" s="10" t="n"/>
      <c r="M867" s="10" t="n"/>
      <c r="N867" s="14">
        <f>IF(A867="","",WEEKNUM(A867,2))</f>
        <v/>
      </c>
      <c r="O867" s="15">
        <f>IF(OR(A867="",F867=""),"",LOOKUP(F867,Lists!$F$2:$F$5,Lists!$G$2:$G$5))</f>
        <v/>
      </c>
      <c r="P867" s="16">
        <f>IF(A867="","",SUM(H867:K867))</f>
        <v/>
      </c>
      <c r="Q867" s="17">
        <f>IF(A867="","",IFERROR(P867/G867,""))</f>
        <v/>
      </c>
      <c r="R867" s="14">
        <f>IF(OR(A867="",G867=""),"",COUNTIFS($N$2:$N$1000,"&gt;0",$G$2:$G$1000,"&gt;"&amp;G867)+COUNTIFS($N$2:N867,"&gt;0",$G$2:G867,G867))</f>
        <v/>
      </c>
    </row>
    <row r="868">
      <c r="A868" s="9" t="n"/>
      <c r="B868" s="10" t="n"/>
      <c r="C868" s="10" t="n"/>
      <c r="D868" s="10" t="n"/>
      <c r="E868" s="10" t="n"/>
      <c r="F868" s="12" t="n"/>
      <c r="G868" s="13" t="n"/>
      <c r="H868" s="13" t="n"/>
      <c r="I868" s="13" t="n"/>
      <c r="J868" s="13" t="n"/>
      <c r="K868" s="13" t="n"/>
      <c r="L868" s="10" t="n"/>
      <c r="M868" s="10" t="n"/>
      <c r="N868" s="14">
        <f>IF(A868="","",WEEKNUM(A868,2))</f>
        <v/>
      </c>
      <c r="O868" s="15">
        <f>IF(OR(A868="",F868=""),"",LOOKUP(F868,Lists!$F$2:$F$5,Lists!$G$2:$G$5))</f>
        <v/>
      </c>
      <c r="P868" s="16">
        <f>IF(A868="","",SUM(H868:K868))</f>
        <v/>
      </c>
      <c r="Q868" s="17">
        <f>IF(A868="","",IFERROR(P868/G868,""))</f>
        <v/>
      </c>
      <c r="R868" s="14">
        <f>IF(OR(A868="",G868=""),"",COUNTIFS($N$2:$N$1000,"&gt;0",$G$2:$G$1000,"&gt;"&amp;G868)+COUNTIFS($N$2:N868,"&gt;0",$G$2:G868,G868))</f>
        <v/>
      </c>
    </row>
    <row r="869">
      <c r="A869" s="9" t="n"/>
      <c r="B869" s="10" t="n"/>
      <c r="C869" s="10" t="n"/>
      <c r="D869" s="10" t="n"/>
      <c r="E869" s="10" t="n"/>
      <c r="F869" s="12" t="n"/>
      <c r="G869" s="13" t="n"/>
      <c r="H869" s="13" t="n"/>
      <c r="I869" s="13" t="n"/>
      <c r="J869" s="13" t="n"/>
      <c r="K869" s="13" t="n"/>
      <c r="L869" s="10" t="n"/>
      <c r="M869" s="10" t="n"/>
      <c r="N869" s="14">
        <f>IF(A869="","",WEEKNUM(A869,2))</f>
        <v/>
      </c>
      <c r="O869" s="15">
        <f>IF(OR(A869="",F869=""),"",LOOKUP(F869,Lists!$F$2:$F$5,Lists!$G$2:$G$5))</f>
        <v/>
      </c>
      <c r="P869" s="16">
        <f>IF(A869="","",SUM(H869:K869))</f>
        <v/>
      </c>
      <c r="Q869" s="17">
        <f>IF(A869="","",IFERROR(P869/G869,""))</f>
        <v/>
      </c>
      <c r="R869" s="14">
        <f>IF(OR(A869="",G869=""),"",COUNTIFS($N$2:$N$1000,"&gt;0",$G$2:$G$1000,"&gt;"&amp;G869)+COUNTIFS($N$2:N869,"&gt;0",$G$2:G869,G869))</f>
        <v/>
      </c>
    </row>
    <row r="870">
      <c r="A870" s="9" t="n"/>
      <c r="B870" s="10" t="n"/>
      <c r="C870" s="10" t="n"/>
      <c r="D870" s="10" t="n"/>
      <c r="E870" s="10" t="n"/>
      <c r="F870" s="12" t="n"/>
      <c r="G870" s="13" t="n"/>
      <c r="H870" s="13" t="n"/>
      <c r="I870" s="13" t="n"/>
      <c r="J870" s="13" t="n"/>
      <c r="K870" s="13" t="n"/>
      <c r="L870" s="10" t="n"/>
      <c r="M870" s="10" t="n"/>
      <c r="N870" s="14">
        <f>IF(A870="","",WEEKNUM(A870,2))</f>
        <v/>
      </c>
      <c r="O870" s="15">
        <f>IF(OR(A870="",F870=""),"",LOOKUP(F870,Lists!$F$2:$F$5,Lists!$G$2:$G$5))</f>
        <v/>
      </c>
      <c r="P870" s="16">
        <f>IF(A870="","",SUM(H870:K870))</f>
        <v/>
      </c>
      <c r="Q870" s="17">
        <f>IF(A870="","",IFERROR(P870/G870,""))</f>
        <v/>
      </c>
      <c r="R870" s="14">
        <f>IF(OR(A870="",G870=""),"",COUNTIFS($N$2:$N$1000,"&gt;0",$G$2:$G$1000,"&gt;"&amp;G870)+COUNTIFS($N$2:N870,"&gt;0",$G$2:G870,G870))</f>
        <v/>
      </c>
    </row>
    <row r="871">
      <c r="A871" s="9" t="n"/>
      <c r="B871" s="10" t="n"/>
      <c r="C871" s="10" t="n"/>
      <c r="D871" s="10" t="n"/>
      <c r="E871" s="10" t="n"/>
      <c r="F871" s="12" t="n"/>
      <c r="G871" s="13" t="n"/>
      <c r="H871" s="13" t="n"/>
      <c r="I871" s="13" t="n"/>
      <c r="J871" s="13" t="n"/>
      <c r="K871" s="13" t="n"/>
      <c r="L871" s="10" t="n"/>
      <c r="M871" s="10" t="n"/>
      <c r="N871" s="14">
        <f>IF(A871="","",WEEKNUM(A871,2))</f>
        <v/>
      </c>
      <c r="O871" s="15">
        <f>IF(OR(A871="",F871=""),"",LOOKUP(F871,Lists!$F$2:$F$5,Lists!$G$2:$G$5))</f>
        <v/>
      </c>
      <c r="P871" s="16">
        <f>IF(A871="","",SUM(H871:K871))</f>
        <v/>
      </c>
      <c r="Q871" s="17">
        <f>IF(A871="","",IFERROR(P871/G871,""))</f>
        <v/>
      </c>
      <c r="R871" s="14">
        <f>IF(OR(A871="",G871=""),"",COUNTIFS($N$2:$N$1000,"&gt;0",$G$2:$G$1000,"&gt;"&amp;G871)+COUNTIFS($N$2:N871,"&gt;0",$G$2:G871,G871))</f>
        <v/>
      </c>
    </row>
    <row r="872">
      <c r="A872" s="9" t="n"/>
      <c r="B872" s="10" t="n"/>
      <c r="C872" s="10" t="n"/>
      <c r="D872" s="10" t="n"/>
      <c r="E872" s="10" t="n"/>
      <c r="F872" s="12" t="n"/>
      <c r="G872" s="13" t="n"/>
      <c r="H872" s="13" t="n"/>
      <c r="I872" s="13" t="n"/>
      <c r="J872" s="13" t="n"/>
      <c r="K872" s="13" t="n"/>
      <c r="L872" s="10" t="n"/>
      <c r="M872" s="10" t="n"/>
      <c r="N872" s="14">
        <f>IF(A872="","",WEEKNUM(A872,2))</f>
        <v/>
      </c>
      <c r="O872" s="15">
        <f>IF(OR(A872="",F872=""),"",LOOKUP(F872,Lists!$F$2:$F$5,Lists!$G$2:$G$5))</f>
        <v/>
      </c>
      <c r="P872" s="16">
        <f>IF(A872="","",SUM(H872:K872))</f>
        <v/>
      </c>
      <c r="Q872" s="17">
        <f>IF(A872="","",IFERROR(P872/G872,""))</f>
        <v/>
      </c>
      <c r="R872" s="14">
        <f>IF(OR(A872="",G872=""),"",COUNTIFS($N$2:$N$1000,"&gt;0",$G$2:$G$1000,"&gt;"&amp;G872)+COUNTIFS($N$2:N872,"&gt;0",$G$2:G872,G872))</f>
        <v/>
      </c>
    </row>
    <row r="873">
      <c r="A873" s="9" t="n"/>
      <c r="B873" s="10" t="n"/>
      <c r="C873" s="10" t="n"/>
      <c r="D873" s="10" t="n"/>
      <c r="E873" s="10" t="n"/>
      <c r="F873" s="12" t="n"/>
      <c r="G873" s="13" t="n"/>
      <c r="H873" s="13" t="n"/>
      <c r="I873" s="13" t="n"/>
      <c r="J873" s="13" t="n"/>
      <c r="K873" s="13" t="n"/>
      <c r="L873" s="10" t="n"/>
      <c r="M873" s="10" t="n"/>
      <c r="N873" s="14">
        <f>IF(A873="","",WEEKNUM(A873,2))</f>
        <v/>
      </c>
      <c r="O873" s="15">
        <f>IF(OR(A873="",F873=""),"",LOOKUP(F873,Lists!$F$2:$F$5,Lists!$G$2:$G$5))</f>
        <v/>
      </c>
      <c r="P873" s="16">
        <f>IF(A873="","",SUM(H873:K873))</f>
        <v/>
      </c>
      <c r="Q873" s="17">
        <f>IF(A873="","",IFERROR(P873/G873,""))</f>
        <v/>
      </c>
      <c r="R873" s="14">
        <f>IF(OR(A873="",G873=""),"",COUNTIFS($N$2:$N$1000,"&gt;0",$G$2:$G$1000,"&gt;"&amp;G873)+COUNTIFS($N$2:N873,"&gt;0",$G$2:G873,G873))</f>
        <v/>
      </c>
    </row>
    <row r="874">
      <c r="A874" s="9" t="n"/>
      <c r="B874" s="10" t="n"/>
      <c r="C874" s="10" t="n"/>
      <c r="D874" s="10" t="n"/>
      <c r="E874" s="10" t="n"/>
      <c r="F874" s="12" t="n"/>
      <c r="G874" s="13" t="n"/>
      <c r="H874" s="13" t="n"/>
      <c r="I874" s="13" t="n"/>
      <c r="J874" s="13" t="n"/>
      <c r="K874" s="13" t="n"/>
      <c r="L874" s="10" t="n"/>
      <c r="M874" s="10" t="n"/>
      <c r="N874" s="14">
        <f>IF(A874="","",WEEKNUM(A874,2))</f>
        <v/>
      </c>
      <c r="O874" s="15">
        <f>IF(OR(A874="",F874=""),"",LOOKUP(F874,Lists!$F$2:$F$5,Lists!$G$2:$G$5))</f>
        <v/>
      </c>
      <c r="P874" s="16">
        <f>IF(A874="","",SUM(H874:K874))</f>
        <v/>
      </c>
      <c r="Q874" s="17">
        <f>IF(A874="","",IFERROR(P874/G874,""))</f>
        <v/>
      </c>
      <c r="R874" s="14">
        <f>IF(OR(A874="",G874=""),"",COUNTIFS($N$2:$N$1000,"&gt;0",$G$2:$G$1000,"&gt;"&amp;G874)+COUNTIFS($N$2:N874,"&gt;0",$G$2:G874,G874))</f>
        <v/>
      </c>
    </row>
    <row r="875">
      <c r="A875" s="9" t="n"/>
      <c r="B875" s="10" t="n"/>
      <c r="C875" s="10" t="n"/>
      <c r="D875" s="10" t="n"/>
      <c r="E875" s="10" t="n"/>
      <c r="F875" s="12" t="n"/>
      <c r="G875" s="13" t="n"/>
      <c r="H875" s="13" t="n"/>
      <c r="I875" s="13" t="n"/>
      <c r="J875" s="13" t="n"/>
      <c r="K875" s="13" t="n"/>
      <c r="L875" s="10" t="n"/>
      <c r="M875" s="10" t="n"/>
      <c r="N875" s="14">
        <f>IF(A875="","",WEEKNUM(A875,2))</f>
        <v/>
      </c>
      <c r="O875" s="15">
        <f>IF(OR(A875="",F875=""),"",LOOKUP(F875,Lists!$F$2:$F$5,Lists!$G$2:$G$5))</f>
        <v/>
      </c>
      <c r="P875" s="16">
        <f>IF(A875="","",SUM(H875:K875))</f>
        <v/>
      </c>
      <c r="Q875" s="17">
        <f>IF(A875="","",IFERROR(P875/G875,""))</f>
        <v/>
      </c>
      <c r="R875" s="14">
        <f>IF(OR(A875="",G875=""),"",COUNTIFS($N$2:$N$1000,"&gt;0",$G$2:$G$1000,"&gt;"&amp;G875)+COUNTIFS($N$2:N875,"&gt;0",$G$2:G875,G875))</f>
        <v/>
      </c>
    </row>
    <row r="876">
      <c r="A876" s="9" t="n"/>
      <c r="B876" s="10" t="n"/>
      <c r="C876" s="10" t="n"/>
      <c r="D876" s="10" t="n"/>
      <c r="E876" s="10" t="n"/>
      <c r="F876" s="12" t="n"/>
      <c r="G876" s="13" t="n"/>
      <c r="H876" s="13" t="n"/>
      <c r="I876" s="13" t="n"/>
      <c r="J876" s="13" t="n"/>
      <c r="K876" s="13" t="n"/>
      <c r="L876" s="10" t="n"/>
      <c r="M876" s="10" t="n"/>
      <c r="N876" s="14">
        <f>IF(A876="","",WEEKNUM(A876,2))</f>
        <v/>
      </c>
      <c r="O876" s="15">
        <f>IF(OR(A876="",F876=""),"",LOOKUP(F876,Lists!$F$2:$F$5,Lists!$G$2:$G$5))</f>
        <v/>
      </c>
      <c r="P876" s="16">
        <f>IF(A876="","",SUM(H876:K876))</f>
        <v/>
      </c>
      <c r="Q876" s="17">
        <f>IF(A876="","",IFERROR(P876/G876,""))</f>
        <v/>
      </c>
      <c r="R876" s="14">
        <f>IF(OR(A876="",G876=""),"",COUNTIFS($N$2:$N$1000,"&gt;0",$G$2:$G$1000,"&gt;"&amp;G876)+COUNTIFS($N$2:N876,"&gt;0",$G$2:G876,G876))</f>
        <v/>
      </c>
    </row>
    <row r="877">
      <c r="A877" s="9" t="n"/>
      <c r="B877" s="10" t="n"/>
      <c r="C877" s="10" t="n"/>
      <c r="D877" s="10" t="n"/>
      <c r="E877" s="10" t="n"/>
      <c r="F877" s="12" t="n"/>
      <c r="G877" s="13" t="n"/>
      <c r="H877" s="13" t="n"/>
      <c r="I877" s="13" t="n"/>
      <c r="J877" s="13" t="n"/>
      <c r="K877" s="13" t="n"/>
      <c r="L877" s="10" t="n"/>
      <c r="M877" s="10" t="n"/>
      <c r="N877" s="14">
        <f>IF(A877="","",WEEKNUM(A877,2))</f>
        <v/>
      </c>
      <c r="O877" s="15">
        <f>IF(OR(A877="",F877=""),"",LOOKUP(F877,Lists!$F$2:$F$5,Lists!$G$2:$G$5))</f>
        <v/>
      </c>
      <c r="P877" s="16">
        <f>IF(A877="","",SUM(H877:K877))</f>
        <v/>
      </c>
      <c r="Q877" s="17">
        <f>IF(A877="","",IFERROR(P877/G877,""))</f>
        <v/>
      </c>
      <c r="R877" s="14">
        <f>IF(OR(A877="",G877=""),"",COUNTIFS($N$2:$N$1000,"&gt;0",$G$2:$G$1000,"&gt;"&amp;G877)+COUNTIFS($N$2:N877,"&gt;0",$G$2:G877,G877))</f>
        <v/>
      </c>
    </row>
    <row r="878">
      <c r="A878" s="9" t="n"/>
      <c r="B878" s="10" t="n"/>
      <c r="C878" s="10" t="n"/>
      <c r="D878" s="10" t="n"/>
      <c r="E878" s="10" t="n"/>
      <c r="F878" s="12" t="n"/>
      <c r="G878" s="13" t="n"/>
      <c r="H878" s="13" t="n"/>
      <c r="I878" s="13" t="n"/>
      <c r="J878" s="13" t="n"/>
      <c r="K878" s="13" t="n"/>
      <c r="L878" s="10" t="n"/>
      <c r="M878" s="10" t="n"/>
      <c r="N878" s="14">
        <f>IF(A878="","",WEEKNUM(A878,2))</f>
        <v/>
      </c>
      <c r="O878" s="15">
        <f>IF(OR(A878="",F878=""),"",LOOKUP(F878,Lists!$F$2:$F$5,Lists!$G$2:$G$5))</f>
        <v/>
      </c>
      <c r="P878" s="16">
        <f>IF(A878="","",SUM(H878:K878))</f>
        <v/>
      </c>
      <c r="Q878" s="17">
        <f>IF(A878="","",IFERROR(P878/G878,""))</f>
        <v/>
      </c>
      <c r="R878" s="14">
        <f>IF(OR(A878="",G878=""),"",COUNTIFS($N$2:$N$1000,"&gt;0",$G$2:$G$1000,"&gt;"&amp;G878)+COUNTIFS($N$2:N878,"&gt;0",$G$2:G878,G878))</f>
        <v/>
      </c>
    </row>
    <row r="879">
      <c r="A879" s="9" t="n"/>
      <c r="B879" s="10" t="n"/>
      <c r="C879" s="10" t="n"/>
      <c r="D879" s="10" t="n"/>
      <c r="E879" s="10" t="n"/>
      <c r="F879" s="12" t="n"/>
      <c r="G879" s="13" t="n"/>
      <c r="H879" s="13" t="n"/>
      <c r="I879" s="13" t="n"/>
      <c r="J879" s="13" t="n"/>
      <c r="K879" s="13" t="n"/>
      <c r="L879" s="10" t="n"/>
      <c r="M879" s="10" t="n"/>
      <c r="N879" s="14">
        <f>IF(A879="","",WEEKNUM(A879,2))</f>
        <v/>
      </c>
      <c r="O879" s="15">
        <f>IF(OR(A879="",F879=""),"",LOOKUP(F879,Lists!$F$2:$F$5,Lists!$G$2:$G$5))</f>
        <v/>
      </c>
      <c r="P879" s="16">
        <f>IF(A879="","",SUM(H879:K879))</f>
        <v/>
      </c>
      <c r="Q879" s="17">
        <f>IF(A879="","",IFERROR(P879/G879,""))</f>
        <v/>
      </c>
      <c r="R879" s="14">
        <f>IF(OR(A879="",G879=""),"",COUNTIFS($N$2:$N$1000,"&gt;0",$G$2:$G$1000,"&gt;"&amp;G879)+COUNTIFS($N$2:N879,"&gt;0",$G$2:G879,G879))</f>
        <v/>
      </c>
    </row>
    <row r="880">
      <c r="A880" s="9" t="n"/>
      <c r="B880" s="10" t="n"/>
      <c r="C880" s="10" t="n"/>
      <c r="D880" s="10" t="n"/>
      <c r="E880" s="10" t="n"/>
      <c r="F880" s="12" t="n"/>
      <c r="G880" s="13" t="n"/>
      <c r="H880" s="13" t="n"/>
      <c r="I880" s="13" t="n"/>
      <c r="J880" s="13" t="n"/>
      <c r="K880" s="13" t="n"/>
      <c r="L880" s="10" t="n"/>
      <c r="M880" s="10" t="n"/>
      <c r="N880" s="14">
        <f>IF(A880="","",WEEKNUM(A880,2))</f>
        <v/>
      </c>
      <c r="O880" s="15">
        <f>IF(OR(A880="",F880=""),"",LOOKUP(F880,Lists!$F$2:$F$5,Lists!$G$2:$G$5))</f>
        <v/>
      </c>
      <c r="P880" s="16">
        <f>IF(A880="","",SUM(H880:K880))</f>
        <v/>
      </c>
      <c r="Q880" s="17">
        <f>IF(A880="","",IFERROR(P880/G880,""))</f>
        <v/>
      </c>
      <c r="R880" s="14">
        <f>IF(OR(A880="",G880=""),"",COUNTIFS($N$2:$N$1000,"&gt;0",$G$2:$G$1000,"&gt;"&amp;G880)+COUNTIFS($N$2:N880,"&gt;0",$G$2:G880,G880))</f>
        <v/>
      </c>
    </row>
    <row r="881">
      <c r="A881" s="9" t="n"/>
      <c r="B881" s="10" t="n"/>
      <c r="C881" s="10" t="n"/>
      <c r="D881" s="10" t="n"/>
      <c r="E881" s="10" t="n"/>
      <c r="F881" s="12" t="n"/>
      <c r="G881" s="13" t="n"/>
      <c r="H881" s="13" t="n"/>
      <c r="I881" s="13" t="n"/>
      <c r="J881" s="13" t="n"/>
      <c r="K881" s="13" t="n"/>
      <c r="L881" s="10" t="n"/>
      <c r="M881" s="10" t="n"/>
      <c r="N881" s="14">
        <f>IF(A881="","",WEEKNUM(A881,2))</f>
        <v/>
      </c>
      <c r="O881" s="15">
        <f>IF(OR(A881="",F881=""),"",LOOKUP(F881,Lists!$F$2:$F$5,Lists!$G$2:$G$5))</f>
        <v/>
      </c>
      <c r="P881" s="16">
        <f>IF(A881="","",SUM(H881:K881))</f>
        <v/>
      </c>
      <c r="Q881" s="17">
        <f>IF(A881="","",IFERROR(P881/G881,""))</f>
        <v/>
      </c>
      <c r="R881" s="14">
        <f>IF(OR(A881="",G881=""),"",COUNTIFS($N$2:$N$1000,"&gt;0",$G$2:$G$1000,"&gt;"&amp;G881)+COUNTIFS($N$2:N881,"&gt;0",$G$2:G881,G881))</f>
        <v/>
      </c>
    </row>
    <row r="882">
      <c r="A882" s="9" t="n"/>
      <c r="B882" s="10" t="n"/>
      <c r="C882" s="10" t="n"/>
      <c r="D882" s="10" t="n"/>
      <c r="E882" s="10" t="n"/>
      <c r="F882" s="12" t="n"/>
      <c r="G882" s="13" t="n"/>
      <c r="H882" s="13" t="n"/>
      <c r="I882" s="13" t="n"/>
      <c r="J882" s="13" t="n"/>
      <c r="K882" s="13" t="n"/>
      <c r="L882" s="10" t="n"/>
      <c r="M882" s="10" t="n"/>
      <c r="N882" s="14">
        <f>IF(A882="","",WEEKNUM(A882,2))</f>
        <v/>
      </c>
      <c r="O882" s="15">
        <f>IF(OR(A882="",F882=""),"",LOOKUP(F882,Lists!$F$2:$F$5,Lists!$G$2:$G$5))</f>
        <v/>
      </c>
      <c r="P882" s="16">
        <f>IF(A882="","",SUM(H882:K882))</f>
        <v/>
      </c>
      <c r="Q882" s="17">
        <f>IF(A882="","",IFERROR(P882/G882,""))</f>
        <v/>
      </c>
      <c r="R882" s="14">
        <f>IF(OR(A882="",G882=""),"",COUNTIFS($N$2:$N$1000,"&gt;0",$G$2:$G$1000,"&gt;"&amp;G882)+COUNTIFS($N$2:N882,"&gt;0",$G$2:G882,G882))</f>
        <v/>
      </c>
    </row>
    <row r="883">
      <c r="A883" s="9" t="n"/>
      <c r="B883" s="10" t="n"/>
      <c r="C883" s="10" t="n"/>
      <c r="D883" s="10" t="n"/>
      <c r="E883" s="10" t="n"/>
      <c r="F883" s="12" t="n"/>
      <c r="G883" s="13" t="n"/>
      <c r="H883" s="13" t="n"/>
      <c r="I883" s="13" t="n"/>
      <c r="J883" s="13" t="n"/>
      <c r="K883" s="13" t="n"/>
      <c r="L883" s="10" t="n"/>
      <c r="M883" s="10" t="n"/>
      <c r="N883" s="14">
        <f>IF(A883="","",WEEKNUM(A883,2))</f>
        <v/>
      </c>
      <c r="O883" s="15">
        <f>IF(OR(A883="",F883=""),"",LOOKUP(F883,Lists!$F$2:$F$5,Lists!$G$2:$G$5))</f>
        <v/>
      </c>
      <c r="P883" s="16">
        <f>IF(A883="","",SUM(H883:K883))</f>
        <v/>
      </c>
      <c r="Q883" s="17">
        <f>IF(A883="","",IFERROR(P883/G883,""))</f>
        <v/>
      </c>
      <c r="R883" s="14">
        <f>IF(OR(A883="",G883=""),"",COUNTIFS($N$2:$N$1000,"&gt;0",$G$2:$G$1000,"&gt;"&amp;G883)+COUNTIFS($N$2:N883,"&gt;0",$G$2:G883,G883))</f>
        <v/>
      </c>
    </row>
    <row r="884">
      <c r="A884" s="9" t="n"/>
      <c r="B884" s="10" t="n"/>
      <c r="C884" s="10" t="n"/>
      <c r="D884" s="10" t="n"/>
      <c r="E884" s="10" t="n"/>
      <c r="F884" s="12" t="n"/>
      <c r="G884" s="13" t="n"/>
      <c r="H884" s="13" t="n"/>
      <c r="I884" s="13" t="n"/>
      <c r="J884" s="13" t="n"/>
      <c r="K884" s="13" t="n"/>
      <c r="L884" s="10" t="n"/>
      <c r="M884" s="10" t="n"/>
      <c r="N884" s="14">
        <f>IF(A884="","",WEEKNUM(A884,2))</f>
        <v/>
      </c>
      <c r="O884" s="15">
        <f>IF(OR(A884="",F884=""),"",LOOKUP(F884,Lists!$F$2:$F$5,Lists!$G$2:$G$5))</f>
        <v/>
      </c>
      <c r="P884" s="16">
        <f>IF(A884="","",SUM(H884:K884))</f>
        <v/>
      </c>
      <c r="Q884" s="17">
        <f>IF(A884="","",IFERROR(P884/G884,""))</f>
        <v/>
      </c>
      <c r="R884" s="14">
        <f>IF(OR(A884="",G884=""),"",COUNTIFS($N$2:$N$1000,"&gt;0",$G$2:$G$1000,"&gt;"&amp;G884)+COUNTIFS($N$2:N884,"&gt;0",$G$2:G884,G884))</f>
        <v/>
      </c>
    </row>
    <row r="885">
      <c r="A885" s="9" t="n"/>
      <c r="B885" s="10" t="n"/>
      <c r="C885" s="10" t="n"/>
      <c r="D885" s="10" t="n"/>
      <c r="E885" s="10" t="n"/>
      <c r="F885" s="12" t="n"/>
      <c r="G885" s="13" t="n"/>
      <c r="H885" s="13" t="n"/>
      <c r="I885" s="13" t="n"/>
      <c r="J885" s="13" t="n"/>
      <c r="K885" s="13" t="n"/>
      <c r="L885" s="10" t="n"/>
      <c r="M885" s="10" t="n"/>
      <c r="N885" s="14">
        <f>IF(A885="","",WEEKNUM(A885,2))</f>
        <v/>
      </c>
      <c r="O885" s="15">
        <f>IF(OR(A885="",F885=""),"",LOOKUP(F885,Lists!$F$2:$F$5,Lists!$G$2:$G$5))</f>
        <v/>
      </c>
      <c r="P885" s="16">
        <f>IF(A885="","",SUM(H885:K885))</f>
        <v/>
      </c>
      <c r="Q885" s="17">
        <f>IF(A885="","",IFERROR(P885/G885,""))</f>
        <v/>
      </c>
      <c r="R885" s="14">
        <f>IF(OR(A885="",G885=""),"",COUNTIFS($N$2:$N$1000,"&gt;0",$G$2:$G$1000,"&gt;"&amp;G885)+COUNTIFS($N$2:N885,"&gt;0",$G$2:G885,G885))</f>
        <v/>
      </c>
    </row>
    <row r="886">
      <c r="A886" s="9" t="n"/>
      <c r="B886" s="10" t="n"/>
      <c r="C886" s="10" t="n"/>
      <c r="D886" s="10" t="n"/>
      <c r="E886" s="10" t="n"/>
      <c r="F886" s="12" t="n"/>
      <c r="G886" s="13" t="n"/>
      <c r="H886" s="13" t="n"/>
      <c r="I886" s="13" t="n"/>
      <c r="J886" s="13" t="n"/>
      <c r="K886" s="13" t="n"/>
      <c r="L886" s="10" t="n"/>
      <c r="M886" s="10" t="n"/>
      <c r="N886" s="14">
        <f>IF(A886="","",WEEKNUM(A886,2))</f>
        <v/>
      </c>
      <c r="O886" s="15">
        <f>IF(OR(A886="",F886=""),"",LOOKUP(F886,Lists!$F$2:$F$5,Lists!$G$2:$G$5))</f>
        <v/>
      </c>
      <c r="P886" s="16">
        <f>IF(A886="","",SUM(H886:K886))</f>
        <v/>
      </c>
      <c r="Q886" s="17">
        <f>IF(A886="","",IFERROR(P886/G886,""))</f>
        <v/>
      </c>
      <c r="R886" s="14">
        <f>IF(OR(A886="",G886=""),"",COUNTIFS($N$2:$N$1000,"&gt;0",$G$2:$G$1000,"&gt;"&amp;G886)+COUNTIFS($N$2:N886,"&gt;0",$G$2:G886,G886))</f>
        <v/>
      </c>
    </row>
    <row r="887">
      <c r="A887" s="9" t="n"/>
      <c r="B887" s="10" t="n"/>
      <c r="C887" s="10" t="n"/>
      <c r="D887" s="10" t="n"/>
      <c r="E887" s="10" t="n"/>
      <c r="F887" s="12" t="n"/>
      <c r="G887" s="13" t="n"/>
      <c r="H887" s="13" t="n"/>
      <c r="I887" s="13" t="n"/>
      <c r="J887" s="13" t="n"/>
      <c r="K887" s="13" t="n"/>
      <c r="L887" s="10" t="n"/>
      <c r="M887" s="10" t="n"/>
      <c r="N887" s="14">
        <f>IF(A887="","",WEEKNUM(A887,2))</f>
        <v/>
      </c>
      <c r="O887" s="15">
        <f>IF(OR(A887="",F887=""),"",LOOKUP(F887,Lists!$F$2:$F$5,Lists!$G$2:$G$5))</f>
        <v/>
      </c>
      <c r="P887" s="16">
        <f>IF(A887="","",SUM(H887:K887))</f>
        <v/>
      </c>
      <c r="Q887" s="17">
        <f>IF(A887="","",IFERROR(P887/G887,""))</f>
        <v/>
      </c>
      <c r="R887" s="14">
        <f>IF(OR(A887="",G887=""),"",COUNTIFS($N$2:$N$1000,"&gt;0",$G$2:$G$1000,"&gt;"&amp;G887)+COUNTIFS($N$2:N887,"&gt;0",$G$2:G887,G887))</f>
        <v/>
      </c>
    </row>
    <row r="888">
      <c r="A888" s="9" t="n"/>
      <c r="B888" s="10" t="n"/>
      <c r="C888" s="10" t="n"/>
      <c r="D888" s="10" t="n"/>
      <c r="E888" s="10" t="n"/>
      <c r="F888" s="12" t="n"/>
      <c r="G888" s="13" t="n"/>
      <c r="H888" s="13" t="n"/>
      <c r="I888" s="13" t="n"/>
      <c r="J888" s="13" t="n"/>
      <c r="K888" s="13" t="n"/>
      <c r="L888" s="10" t="n"/>
      <c r="M888" s="10" t="n"/>
      <c r="N888" s="14">
        <f>IF(A888="","",WEEKNUM(A888,2))</f>
        <v/>
      </c>
      <c r="O888" s="15">
        <f>IF(OR(A888="",F888=""),"",LOOKUP(F888,Lists!$F$2:$F$5,Lists!$G$2:$G$5))</f>
        <v/>
      </c>
      <c r="P888" s="16">
        <f>IF(A888="","",SUM(H888:K888))</f>
        <v/>
      </c>
      <c r="Q888" s="17">
        <f>IF(A888="","",IFERROR(P888/G888,""))</f>
        <v/>
      </c>
      <c r="R888" s="14">
        <f>IF(OR(A888="",G888=""),"",COUNTIFS($N$2:$N$1000,"&gt;0",$G$2:$G$1000,"&gt;"&amp;G888)+COUNTIFS($N$2:N888,"&gt;0",$G$2:G888,G888))</f>
        <v/>
      </c>
    </row>
    <row r="889">
      <c r="A889" s="9" t="n"/>
      <c r="B889" s="10" t="n"/>
      <c r="C889" s="10" t="n"/>
      <c r="D889" s="10" t="n"/>
      <c r="E889" s="10" t="n"/>
      <c r="F889" s="12" t="n"/>
      <c r="G889" s="13" t="n"/>
      <c r="H889" s="13" t="n"/>
      <c r="I889" s="13" t="n"/>
      <c r="J889" s="13" t="n"/>
      <c r="K889" s="13" t="n"/>
      <c r="L889" s="10" t="n"/>
      <c r="M889" s="10" t="n"/>
      <c r="N889" s="14">
        <f>IF(A889="","",WEEKNUM(A889,2))</f>
        <v/>
      </c>
      <c r="O889" s="15">
        <f>IF(OR(A889="",F889=""),"",LOOKUP(F889,Lists!$F$2:$F$5,Lists!$G$2:$G$5))</f>
        <v/>
      </c>
      <c r="P889" s="16">
        <f>IF(A889="","",SUM(H889:K889))</f>
        <v/>
      </c>
      <c r="Q889" s="17">
        <f>IF(A889="","",IFERROR(P889/G889,""))</f>
        <v/>
      </c>
      <c r="R889" s="14">
        <f>IF(OR(A889="",G889=""),"",COUNTIFS($N$2:$N$1000,"&gt;0",$G$2:$G$1000,"&gt;"&amp;G889)+COUNTIFS($N$2:N889,"&gt;0",$G$2:G889,G889))</f>
        <v/>
      </c>
    </row>
    <row r="890">
      <c r="A890" s="9" t="n"/>
      <c r="B890" s="10" t="n"/>
      <c r="C890" s="10" t="n"/>
      <c r="D890" s="10" t="n"/>
      <c r="E890" s="10" t="n"/>
      <c r="F890" s="12" t="n"/>
      <c r="G890" s="13" t="n"/>
      <c r="H890" s="13" t="n"/>
      <c r="I890" s="13" t="n"/>
      <c r="J890" s="13" t="n"/>
      <c r="K890" s="13" t="n"/>
      <c r="L890" s="10" t="n"/>
      <c r="M890" s="10" t="n"/>
      <c r="N890" s="14">
        <f>IF(A890="","",WEEKNUM(A890,2))</f>
        <v/>
      </c>
      <c r="O890" s="15">
        <f>IF(OR(A890="",F890=""),"",LOOKUP(F890,Lists!$F$2:$F$5,Lists!$G$2:$G$5))</f>
        <v/>
      </c>
      <c r="P890" s="16">
        <f>IF(A890="","",SUM(H890:K890))</f>
        <v/>
      </c>
      <c r="Q890" s="17">
        <f>IF(A890="","",IFERROR(P890/G890,""))</f>
        <v/>
      </c>
      <c r="R890" s="14">
        <f>IF(OR(A890="",G890=""),"",COUNTIFS($N$2:$N$1000,"&gt;0",$G$2:$G$1000,"&gt;"&amp;G890)+COUNTIFS($N$2:N890,"&gt;0",$G$2:G890,G890))</f>
        <v/>
      </c>
    </row>
    <row r="891">
      <c r="A891" s="9" t="n"/>
      <c r="B891" s="10" t="n"/>
      <c r="C891" s="10" t="n"/>
      <c r="D891" s="10" t="n"/>
      <c r="E891" s="10" t="n"/>
      <c r="F891" s="12" t="n"/>
      <c r="G891" s="13" t="n"/>
      <c r="H891" s="13" t="n"/>
      <c r="I891" s="13" t="n"/>
      <c r="J891" s="13" t="n"/>
      <c r="K891" s="13" t="n"/>
      <c r="L891" s="10" t="n"/>
      <c r="M891" s="10" t="n"/>
      <c r="N891" s="14">
        <f>IF(A891="","",WEEKNUM(A891,2))</f>
        <v/>
      </c>
      <c r="O891" s="15">
        <f>IF(OR(A891="",F891=""),"",LOOKUP(F891,Lists!$F$2:$F$5,Lists!$G$2:$G$5))</f>
        <v/>
      </c>
      <c r="P891" s="16">
        <f>IF(A891="","",SUM(H891:K891))</f>
        <v/>
      </c>
      <c r="Q891" s="17">
        <f>IF(A891="","",IFERROR(P891/G891,""))</f>
        <v/>
      </c>
      <c r="R891" s="14">
        <f>IF(OR(A891="",G891=""),"",COUNTIFS($N$2:$N$1000,"&gt;0",$G$2:$G$1000,"&gt;"&amp;G891)+COUNTIFS($N$2:N891,"&gt;0",$G$2:G891,G891))</f>
        <v/>
      </c>
    </row>
    <row r="892">
      <c r="A892" s="9" t="n"/>
      <c r="B892" s="10" t="n"/>
      <c r="C892" s="10" t="n"/>
      <c r="D892" s="10" t="n"/>
      <c r="E892" s="10" t="n"/>
      <c r="F892" s="12" t="n"/>
      <c r="G892" s="13" t="n"/>
      <c r="H892" s="13" t="n"/>
      <c r="I892" s="13" t="n"/>
      <c r="J892" s="13" t="n"/>
      <c r="K892" s="13" t="n"/>
      <c r="L892" s="10" t="n"/>
      <c r="M892" s="10" t="n"/>
      <c r="N892" s="14">
        <f>IF(A892="","",WEEKNUM(A892,2))</f>
        <v/>
      </c>
      <c r="O892" s="15">
        <f>IF(OR(A892="",F892=""),"",LOOKUP(F892,Lists!$F$2:$F$5,Lists!$G$2:$G$5))</f>
        <v/>
      </c>
      <c r="P892" s="16">
        <f>IF(A892="","",SUM(H892:K892))</f>
        <v/>
      </c>
      <c r="Q892" s="17">
        <f>IF(A892="","",IFERROR(P892/G892,""))</f>
        <v/>
      </c>
      <c r="R892" s="14">
        <f>IF(OR(A892="",G892=""),"",COUNTIFS($N$2:$N$1000,"&gt;0",$G$2:$G$1000,"&gt;"&amp;G892)+COUNTIFS($N$2:N892,"&gt;0",$G$2:G892,G892))</f>
        <v/>
      </c>
    </row>
    <row r="893">
      <c r="A893" s="9" t="n"/>
      <c r="B893" s="10" t="n"/>
      <c r="C893" s="10" t="n"/>
      <c r="D893" s="10" t="n"/>
      <c r="E893" s="10" t="n"/>
      <c r="F893" s="12" t="n"/>
      <c r="G893" s="13" t="n"/>
      <c r="H893" s="13" t="n"/>
      <c r="I893" s="13" t="n"/>
      <c r="J893" s="13" t="n"/>
      <c r="K893" s="13" t="n"/>
      <c r="L893" s="10" t="n"/>
      <c r="M893" s="10" t="n"/>
      <c r="N893" s="14">
        <f>IF(A893="","",WEEKNUM(A893,2))</f>
        <v/>
      </c>
      <c r="O893" s="15">
        <f>IF(OR(A893="",F893=""),"",LOOKUP(F893,Lists!$F$2:$F$5,Lists!$G$2:$G$5))</f>
        <v/>
      </c>
      <c r="P893" s="16">
        <f>IF(A893="","",SUM(H893:K893))</f>
        <v/>
      </c>
      <c r="Q893" s="17">
        <f>IF(A893="","",IFERROR(P893/G893,""))</f>
        <v/>
      </c>
      <c r="R893" s="14">
        <f>IF(OR(A893="",G893=""),"",COUNTIFS($N$2:$N$1000,"&gt;0",$G$2:$G$1000,"&gt;"&amp;G893)+COUNTIFS($N$2:N893,"&gt;0",$G$2:G893,G893))</f>
        <v/>
      </c>
    </row>
    <row r="894">
      <c r="A894" s="9" t="n"/>
      <c r="B894" s="10" t="n"/>
      <c r="C894" s="10" t="n"/>
      <c r="D894" s="10" t="n"/>
      <c r="E894" s="10" t="n"/>
      <c r="F894" s="12" t="n"/>
      <c r="G894" s="13" t="n"/>
      <c r="H894" s="13" t="n"/>
      <c r="I894" s="13" t="n"/>
      <c r="J894" s="13" t="n"/>
      <c r="K894" s="13" t="n"/>
      <c r="L894" s="10" t="n"/>
      <c r="M894" s="10" t="n"/>
      <c r="N894" s="14">
        <f>IF(A894="","",WEEKNUM(A894,2))</f>
        <v/>
      </c>
      <c r="O894" s="15">
        <f>IF(OR(A894="",F894=""),"",LOOKUP(F894,Lists!$F$2:$F$5,Lists!$G$2:$G$5))</f>
        <v/>
      </c>
      <c r="P894" s="16">
        <f>IF(A894="","",SUM(H894:K894))</f>
        <v/>
      </c>
      <c r="Q894" s="17">
        <f>IF(A894="","",IFERROR(P894/G894,""))</f>
        <v/>
      </c>
      <c r="R894" s="14">
        <f>IF(OR(A894="",G894=""),"",COUNTIFS($N$2:$N$1000,"&gt;0",$G$2:$G$1000,"&gt;"&amp;G894)+COUNTIFS($N$2:N894,"&gt;0",$G$2:G894,G894))</f>
        <v/>
      </c>
    </row>
    <row r="895">
      <c r="A895" s="9" t="n"/>
      <c r="B895" s="10" t="n"/>
      <c r="C895" s="10" t="n"/>
      <c r="D895" s="10" t="n"/>
      <c r="E895" s="10" t="n"/>
      <c r="F895" s="12" t="n"/>
      <c r="G895" s="13" t="n"/>
      <c r="H895" s="13" t="n"/>
      <c r="I895" s="13" t="n"/>
      <c r="J895" s="13" t="n"/>
      <c r="K895" s="13" t="n"/>
      <c r="L895" s="10" t="n"/>
      <c r="M895" s="10" t="n"/>
      <c r="N895" s="14">
        <f>IF(A895="","",WEEKNUM(A895,2))</f>
        <v/>
      </c>
      <c r="O895" s="15">
        <f>IF(OR(A895="",F895=""),"",LOOKUP(F895,Lists!$F$2:$F$5,Lists!$G$2:$G$5))</f>
        <v/>
      </c>
      <c r="P895" s="16">
        <f>IF(A895="","",SUM(H895:K895))</f>
        <v/>
      </c>
      <c r="Q895" s="17">
        <f>IF(A895="","",IFERROR(P895/G895,""))</f>
        <v/>
      </c>
      <c r="R895" s="14">
        <f>IF(OR(A895="",G895=""),"",COUNTIFS($N$2:$N$1000,"&gt;0",$G$2:$G$1000,"&gt;"&amp;G895)+COUNTIFS($N$2:N895,"&gt;0",$G$2:G895,G895))</f>
        <v/>
      </c>
    </row>
    <row r="896">
      <c r="A896" s="9" t="n"/>
      <c r="B896" s="10" t="n"/>
      <c r="C896" s="10" t="n"/>
      <c r="D896" s="10" t="n"/>
      <c r="E896" s="10" t="n"/>
      <c r="F896" s="12" t="n"/>
      <c r="G896" s="13" t="n"/>
      <c r="H896" s="13" t="n"/>
      <c r="I896" s="13" t="n"/>
      <c r="J896" s="13" t="n"/>
      <c r="K896" s="13" t="n"/>
      <c r="L896" s="10" t="n"/>
      <c r="M896" s="10" t="n"/>
      <c r="N896" s="14">
        <f>IF(A896="","",WEEKNUM(A896,2))</f>
        <v/>
      </c>
      <c r="O896" s="15">
        <f>IF(OR(A896="",F896=""),"",LOOKUP(F896,Lists!$F$2:$F$5,Lists!$G$2:$G$5))</f>
        <v/>
      </c>
      <c r="P896" s="16">
        <f>IF(A896="","",SUM(H896:K896))</f>
        <v/>
      </c>
      <c r="Q896" s="17">
        <f>IF(A896="","",IFERROR(P896/G896,""))</f>
        <v/>
      </c>
      <c r="R896" s="14">
        <f>IF(OR(A896="",G896=""),"",COUNTIFS($N$2:$N$1000,"&gt;0",$G$2:$G$1000,"&gt;"&amp;G896)+COUNTIFS($N$2:N896,"&gt;0",$G$2:G896,G896))</f>
        <v/>
      </c>
    </row>
    <row r="897">
      <c r="A897" s="9" t="n"/>
      <c r="B897" s="10" t="n"/>
      <c r="C897" s="10" t="n"/>
      <c r="D897" s="10" t="n"/>
      <c r="E897" s="10" t="n"/>
      <c r="F897" s="12" t="n"/>
      <c r="G897" s="13" t="n"/>
      <c r="H897" s="13" t="n"/>
      <c r="I897" s="13" t="n"/>
      <c r="J897" s="13" t="n"/>
      <c r="K897" s="13" t="n"/>
      <c r="L897" s="10" t="n"/>
      <c r="M897" s="10" t="n"/>
      <c r="N897" s="14">
        <f>IF(A897="","",WEEKNUM(A897,2))</f>
        <v/>
      </c>
      <c r="O897" s="15">
        <f>IF(OR(A897="",F897=""),"",LOOKUP(F897,Lists!$F$2:$F$5,Lists!$G$2:$G$5))</f>
        <v/>
      </c>
      <c r="P897" s="16">
        <f>IF(A897="","",SUM(H897:K897))</f>
        <v/>
      </c>
      <c r="Q897" s="17">
        <f>IF(A897="","",IFERROR(P897/G897,""))</f>
        <v/>
      </c>
      <c r="R897" s="14">
        <f>IF(OR(A897="",G897=""),"",COUNTIFS($N$2:$N$1000,"&gt;0",$G$2:$G$1000,"&gt;"&amp;G897)+COUNTIFS($N$2:N897,"&gt;0",$G$2:G897,G897))</f>
        <v/>
      </c>
    </row>
    <row r="898">
      <c r="A898" s="9" t="n"/>
      <c r="B898" s="10" t="n"/>
      <c r="C898" s="10" t="n"/>
      <c r="D898" s="10" t="n"/>
      <c r="E898" s="10" t="n"/>
      <c r="F898" s="12" t="n"/>
      <c r="G898" s="13" t="n"/>
      <c r="H898" s="13" t="n"/>
      <c r="I898" s="13" t="n"/>
      <c r="J898" s="13" t="n"/>
      <c r="K898" s="13" t="n"/>
      <c r="L898" s="10" t="n"/>
      <c r="M898" s="10" t="n"/>
      <c r="N898" s="14">
        <f>IF(A898="","",WEEKNUM(A898,2))</f>
        <v/>
      </c>
      <c r="O898" s="15">
        <f>IF(OR(A898="",F898=""),"",LOOKUP(F898,Lists!$F$2:$F$5,Lists!$G$2:$G$5))</f>
        <v/>
      </c>
      <c r="P898" s="16">
        <f>IF(A898="","",SUM(H898:K898))</f>
        <v/>
      </c>
      <c r="Q898" s="17">
        <f>IF(A898="","",IFERROR(P898/G898,""))</f>
        <v/>
      </c>
      <c r="R898" s="14">
        <f>IF(OR(A898="",G898=""),"",COUNTIFS($N$2:$N$1000,"&gt;0",$G$2:$G$1000,"&gt;"&amp;G898)+COUNTIFS($N$2:N898,"&gt;0",$G$2:G898,G898))</f>
        <v/>
      </c>
    </row>
    <row r="899">
      <c r="A899" s="9" t="n"/>
      <c r="B899" s="10" t="n"/>
      <c r="C899" s="10" t="n"/>
      <c r="D899" s="10" t="n"/>
      <c r="E899" s="10" t="n"/>
      <c r="F899" s="12" t="n"/>
      <c r="G899" s="13" t="n"/>
      <c r="H899" s="13" t="n"/>
      <c r="I899" s="13" t="n"/>
      <c r="J899" s="13" t="n"/>
      <c r="K899" s="13" t="n"/>
      <c r="L899" s="10" t="n"/>
      <c r="M899" s="10" t="n"/>
      <c r="N899" s="14">
        <f>IF(A899="","",WEEKNUM(A899,2))</f>
        <v/>
      </c>
      <c r="O899" s="15">
        <f>IF(OR(A899="",F899=""),"",LOOKUP(F899,Lists!$F$2:$F$5,Lists!$G$2:$G$5))</f>
        <v/>
      </c>
      <c r="P899" s="16">
        <f>IF(A899="","",SUM(H899:K899))</f>
        <v/>
      </c>
      <c r="Q899" s="17">
        <f>IF(A899="","",IFERROR(P899/G899,""))</f>
        <v/>
      </c>
      <c r="R899" s="14">
        <f>IF(OR(A899="",G899=""),"",COUNTIFS($N$2:$N$1000,"&gt;0",$G$2:$G$1000,"&gt;"&amp;G899)+COUNTIFS($N$2:N899,"&gt;0",$G$2:G899,G899))</f>
        <v/>
      </c>
    </row>
    <row r="900">
      <c r="A900" s="9" t="n"/>
      <c r="B900" s="10" t="n"/>
      <c r="C900" s="10" t="n"/>
      <c r="D900" s="10" t="n"/>
      <c r="E900" s="10" t="n"/>
      <c r="F900" s="12" t="n"/>
      <c r="G900" s="13" t="n"/>
      <c r="H900" s="13" t="n"/>
      <c r="I900" s="13" t="n"/>
      <c r="J900" s="13" t="n"/>
      <c r="K900" s="13" t="n"/>
      <c r="L900" s="10" t="n"/>
      <c r="M900" s="10" t="n"/>
      <c r="N900" s="14">
        <f>IF(A900="","",WEEKNUM(A900,2))</f>
        <v/>
      </c>
      <c r="O900" s="15">
        <f>IF(OR(A900="",F900=""),"",LOOKUP(F900,Lists!$F$2:$F$5,Lists!$G$2:$G$5))</f>
        <v/>
      </c>
      <c r="P900" s="16">
        <f>IF(A900="","",SUM(H900:K900))</f>
        <v/>
      </c>
      <c r="Q900" s="17">
        <f>IF(A900="","",IFERROR(P900/G900,""))</f>
        <v/>
      </c>
      <c r="R900" s="14">
        <f>IF(OR(A900="",G900=""),"",COUNTIFS($N$2:$N$1000,"&gt;0",$G$2:$G$1000,"&gt;"&amp;G900)+COUNTIFS($N$2:N900,"&gt;0",$G$2:G900,G900))</f>
        <v/>
      </c>
    </row>
    <row r="901">
      <c r="A901" s="9" t="n"/>
      <c r="B901" s="10" t="n"/>
      <c r="C901" s="10" t="n"/>
      <c r="D901" s="10" t="n"/>
      <c r="E901" s="10" t="n"/>
      <c r="F901" s="12" t="n"/>
      <c r="G901" s="13" t="n"/>
      <c r="H901" s="13" t="n"/>
      <c r="I901" s="13" t="n"/>
      <c r="J901" s="13" t="n"/>
      <c r="K901" s="13" t="n"/>
      <c r="L901" s="10" t="n"/>
      <c r="M901" s="10" t="n"/>
      <c r="N901" s="14">
        <f>IF(A901="","",WEEKNUM(A901,2))</f>
        <v/>
      </c>
      <c r="O901" s="15">
        <f>IF(OR(A901="",F901=""),"",LOOKUP(F901,Lists!$F$2:$F$5,Lists!$G$2:$G$5))</f>
        <v/>
      </c>
      <c r="P901" s="16">
        <f>IF(A901="","",SUM(H901:K901))</f>
        <v/>
      </c>
      <c r="Q901" s="17">
        <f>IF(A901="","",IFERROR(P901/G901,""))</f>
        <v/>
      </c>
      <c r="R901" s="14">
        <f>IF(OR(A901="",G901=""),"",COUNTIFS($N$2:$N$1000,"&gt;0",$G$2:$G$1000,"&gt;"&amp;G901)+COUNTIFS($N$2:N901,"&gt;0",$G$2:G901,G901))</f>
        <v/>
      </c>
    </row>
    <row r="902">
      <c r="A902" s="9" t="n"/>
      <c r="B902" s="10" t="n"/>
      <c r="C902" s="10" t="n"/>
      <c r="D902" s="10" t="n"/>
      <c r="E902" s="10" t="n"/>
      <c r="F902" s="12" t="n"/>
      <c r="G902" s="13" t="n"/>
      <c r="H902" s="13" t="n"/>
      <c r="I902" s="13" t="n"/>
      <c r="J902" s="13" t="n"/>
      <c r="K902" s="13" t="n"/>
      <c r="L902" s="10" t="n"/>
      <c r="M902" s="10" t="n"/>
      <c r="N902" s="14">
        <f>IF(A902="","",WEEKNUM(A902,2))</f>
        <v/>
      </c>
      <c r="O902" s="15">
        <f>IF(OR(A902="",F902=""),"",LOOKUP(F902,Lists!$F$2:$F$5,Lists!$G$2:$G$5))</f>
        <v/>
      </c>
      <c r="P902" s="16">
        <f>IF(A902="","",SUM(H902:K902))</f>
        <v/>
      </c>
      <c r="Q902" s="17">
        <f>IF(A902="","",IFERROR(P902/G902,""))</f>
        <v/>
      </c>
      <c r="R902" s="14">
        <f>IF(OR(A902="",G902=""),"",COUNTIFS($N$2:$N$1000,"&gt;0",$G$2:$G$1000,"&gt;"&amp;G902)+COUNTIFS($N$2:N902,"&gt;0",$G$2:G902,G902))</f>
        <v/>
      </c>
    </row>
    <row r="903">
      <c r="A903" s="9" t="n"/>
      <c r="B903" s="10" t="n"/>
      <c r="C903" s="10" t="n"/>
      <c r="D903" s="10" t="n"/>
      <c r="E903" s="10" t="n"/>
      <c r="F903" s="12" t="n"/>
      <c r="G903" s="13" t="n"/>
      <c r="H903" s="13" t="n"/>
      <c r="I903" s="13" t="n"/>
      <c r="J903" s="13" t="n"/>
      <c r="K903" s="13" t="n"/>
      <c r="L903" s="10" t="n"/>
      <c r="M903" s="10" t="n"/>
      <c r="N903" s="14">
        <f>IF(A903="","",WEEKNUM(A903,2))</f>
        <v/>
      </c>
      <c r="O903" s="15">
        <f>IF(OR(A903="",F903=""),"",LOOKUP(F903,Lists!$F$2:$F$5,Lists!$G$2:$G$5))</f>
        <v/>
      </c>
      <c r="P903" s="16">
        <f>IF(A903="","",SUM(H903:K903))</f>
        <v/>
      </c>
      <c r="Q903" s="17">
        <f>IF(A903="","",IFERROR(P903/G903,""))</f>
        <v/>
      </c>
      <c r="R903" s="14">
        <f>IF(OR(A903="",G903=""),"",COUNTIFS($N$2:$N$1000,"&gt;0",$G$2:$G$1000,"&gt;"&amp;G903)+COUNTIFS($N$2:N903,"&gt;0",$G$2:G903,G903))</f>
        <v/>
      </c>
    </row>
    <row r="904">
      <c r="A904" s="9" t="n"/>
      <c r="B904" s="10" t="n"/>
      <c r="C904" s="10" t="n"/>
      <c r="D904" s="10" t="n"/>
      <c r="E904" s="10" t="n"/>
      <c r="F904" s="12" t="n"/>
      <c r="G904" s="13" t="n"/>
      <c r="H904" s="13" t="n"/>
      <c r="I904" s="13" t="n"/>
      <c r="J904" s="13" t="n"/>
      <c r="K904" s="13" t="n"/>
      <c r="L904" s="10" t="n"/>
      <c r="M904" s="10" t="n"/>
      <c r="N904" s="14">
        <f>IF(A904="","",WEEKNUM(A904,2))</f>
        <v/>
      </c>
      <c r="O904" s="15">
        <f>IF(OR(A904="",F904=""),"",LOOKUP(F904,Lists!$F$2:$F$5,Lists!$G$2:$G$5))</f>
        <v/>
      </c>
      <c r="P904" s="16">
        <f>IF(A904="","",SUM(H904:K904))</f>
        <v/>
      </c>
      <c r="Q904" s="17">
        <f>IF(A904="","",IFERROR(P904/G904,""))</f>
        <v/>
      </c>
      <c r="R904" s="14">
        <f>IF(OR(A904="",G904=""),"",COUNTIFS($N$2:$N$1000,"&gt;0",$G$2:$G$1000,"&gt;"&amp;G904)+COUNTIFS($N$2:N904,"&gt;0",$G$2:G904,G904))</f>
        <v/>
      </c>
    </row>
    <row r="905">
      <c r="A905" s="9" t="n"/>
      <c r="B905" s="10" t="n"/>
      <c r="C905" s="10" t="n"/>
      <c r="D905" s="10" t="n"/>
      <c r="E905" s="10" t="n"/>
      <c r="F905" s="12" t="n"/>
      <c r="G905" s="13" t="n"/>
      <c r="H905" s="13" t="n"/>
      <c r="I905" s="13" t="n"/>
      <c r="J905" s="13" t="n"/>
      <c r="K905" s="13" t="n"/>
      <c r="L905" s="10" t="n"/>
      <c r="M905" s="10" t="n"/>
      <c r="N905" s="14">
        <f>IF(A905="","",WEEKNUM(A905,2))</f>
        <v/>
      </c>
      <c r="O905" s="15">
        <f>IF(OR(A905="",F905=""),"",LOOKUP(F905,Lists!$F$2:$F$5,Lists!$G$2:$G$5))</f>
        <v/>
      </c>
      <c r="P905" s="16">
        <f>IF(A905="","",SUM(H905:K905))</f>
        <v/>
      </c>
      <c r="Q905" s="17">
        <f>IF(A905="","",IFERROR(P905/G905,""))</f>
        <v/>
      </c>
      <c r="R905" s="14">
        <f>IF(OR(A905="",G905=""),"",COUNTIFS($N$2:$N$1000,"&gt;0",$G$2:$G$1000,"&gt;"&amp;G905)+COUNTIFS($N$2:N905,"&gt;0",$G$2:G905,G905))</f>
        <v/>
      </c>
    </row>
    <row r="906">
      <c r="A906" s="9" t="n"/>
      <c r="B906" s="10" t="n"/>
      <c r="C906" s="10" t="n"/>
      <c r="D906" s="10" t="n"/>
      <c r="E906" s="10" t="n"/>
      <c r="F906" s="12" t="n"/>
      <c r="G906" s="13" t="n"/>
      <c r="H906" s="13" t="n"/>
      <c r="I906" s="13" t="n"/>
      <c r="J906" s="13" t="n"/>
      <c r="K906" s="13" t="n"/>
      <c r="L906" s="10" t="n"/>
      <c r="M906" s="10" t="n"/>
      <c r="N906" s="14">
        <f>IF(A906="","",WEEKNUM(A906,2))</f>
        <v/>
      </c>
      <c r="O906" s="15">
        <f>IF(OR(A906="",F906=""),"",LOOKUP(F906,Lists!$F$2:$F$5,Lists!$G$2:$G$5))</f>
        <v/>
      </c>
      <c r="P906" s="16">
        <f>IF(A906="","",SUM(H906:K906))</f>
        <v/>
      </c>
      <c r="Q906" s="17">
        <f>IF(A906="","",IFERROR(P906/G906,""))</f>
        <v/>
      </c>
      <c r="R906" s="14">
        <f>IF(OR(A906="",G906=""),"",COUNTIFS($N$2:$N$1000,"&gt;0",$G$2:$G$1000,"&gt;"&amp;G906)+COUNTIFS($N$2:N906,"&gt;0",$G$2:G906,G906))</f>
        <v/>
      </c>
    </row>
    <row r="907">
      <c r="A907" s="9" t="n"/>
      <c r="B907" s="10" t="n"/>
      <c r="C907" s="10" t="n"/>
      <c r="D907" s="10" t="n"/>
      <c r="E907" s="10" t="n"/>
      <c r="F907" s="12" t="n"/>
      <c r="G907" s="13" t="n"/>
      <c r="H907" s="13" t="n"/>
      <c r="I907" s="13" t="n"/>
      <c r="J907" s="13" t="n"/>
      <c r="K907" s="13" t="n"/>
      <c r="L907" s="10" t="n"/>
      <c r="M907" s="10" t="n"/>
      <c r="N907" s="14">
        <f>IF(A907="","",WEEKNUM(A907,2))</f>
        <v/>
      </c>
      <c r="O907" s="15">
        <f>IF(OR(A907="",F907=""),"",LOOKUP(F907,Lists!$F$2:$F$5,Lists!$G$2:$G$5))</f>
        <v/>
      </c>
      <c r="P907" s="16">
        <f>IF(A907="","",SUM(H907:K907))</f>
        <v/>
      </c>
      <c r="Q907" s="17">
        <f>IF(A907="","",IFERROR(P907/G907,""))</f>
        <v/>
      </c>
      <c r="R907" s="14">
        <f>IF(OR(A907="",G907=""),"",COUNTIFS($N$2:$N$1000,"&gt;0",$G$2:$G$1000,"&gt;"&amp;G907)+COUNTIFS($N$2:N907,"&gt;0",$G$2:G907,G907))</f>
        <v/>
      </c>
    </row>
    <row r="908">
      <c r="A908" s="9" t="n"/>
      <c r="B908" s="10" t="n"/>
      <c r="C908" s="10" t="n"/>
      <c r="D908" s="10" t="n"/>
      <c r="E908" s="10" t="n"/>
      <c r="F908" s="12" t="n"/>
      <c r="G908" s="13" t="n"/>
      <c r="H908" s="13" t="n"/>
      <c r="I908" s="13" t="n"/>
      <c r="J908" s="13" t="n"/>
      <c r="K908" s="13" t="n"/>
      <c r="L908" s="10" t="n"/>
      <c r="M908" s="10" t="n"/>
      <c r="N908" s="14">
        <f>IF(A908="","",WEEKNUM(A908,2))</f>
        <v/>
      </c>
      <c r="O908" s="15">
        <f>IF(OR(A908="",F908=""),"",LOOKUP(F908,Lists!$F$2:$F$5,Lists!$G$2:$G$5))</f>
        <v/>
      </c>
      <c r="P908" s="16">
        <f>IF(A908="","",SUM(H908:K908))</f>
        <v/>
      </c>
      <c r="Q908" s="17">
        <f>IF(A908="","",IFERROR(P908/G908,""))</f>
        <v/>
      </c>
      <c r="R908" s="14">
        <f>IF(OR(A908="",G908=""),"",COUNTIFS($N$2:$N$1000,"&gt;0",$G$2:$G$1000,"&gt;"&amp;G908)+COUNTIFS($N$2:N908,"&gt;0",$G$2:G908,G908))</f>
        <v/>
      </c>
    </row>
    <row r="909">
      <c r="A909" s="9" t="n"/>
      <c r="B909" s="10" t="n"/>
      <c r="C909" s="10" t="n"/>
      <c r="D909" s="10" t="n"/>
      <c r="E909" s="10" t="n"/>
      <c r="F909" s="12" t="n"/>
      <c r="G909" s="13" t="n"/>
      <c r="H909" s="13" t="n"/>
      <c r="I909" s="13" t="n"/>
      <c r="J909" s="13" t="n"/>
      <c r="K909" s="13" t="n"/>
      <c r="L909" s="10" t="n"/>
      <c r="M909" s="10" t="n"/>
      <c r="N909" s="14">
        <f>IF(A909="","",WEEKNUM(A909,2))</f>
        <v/>
      </c>
      <c r="O909" s="15">
        <f>IF(OR(A909="",F909=""),"",LOOKUP(F909,Lists!$F$2:$F$5,Lists!$G$2:$G$5))</f>
        <v/>
      </c>
      <c r="P909" s="16">
        <f>IF(A909="","",SUM(H909:K909))</f>
        <v/>
      </c>
      <c r="Q909" s="17">
        <f>IF(A909="","",IFERROR(P909/G909,""))</f>
        <v/>
      </c>
      <c r="R909" s="14">
        <f>IF(OR(A909="",G909=""),"",COUNTIFS($N$2:$N$1000,"&gt;0",$G$2:$G$1000,"&gt;"&amp;G909)+COUNTIFS($N$2:N909,"&gt;0",$G$2:G909,G909))</f>
        <v/>
      </c>
    </row>
    <row r="910">
      <c r="A910" s="9" t="n"/>
      <c r="B910" s="10" t="n"/>
      <c r="C910" s="10" t="n"/>
      <c r="D910" s="10" t="n"/>
      <c r="E910" s="10" t="n"/>
      <c r="F910" s="12" t="n"/>
      <c r="G910" s="13" t="n"/>
      <c r="H910" s="13" t="n"/>
      <c r="I910" s="13" t="n"/>
      <c r="J910" s="13" t="n"/>
      <c r="K910" s="13" t="n"/>
      <c r="L910" s="10" t="n"/>
      <c r="M910" s="10" t="n"/>
      <c r="N910" s="14">
        <f>IF(A910="","",WEEKNUM(A910,2))</f>
        <v/>
      </c>
      <c r="O910" s="15">
        <f>IF(OR(A910="",F910=""),"",LOOKUP(F910,Lists!$F$2:$F$5,Lists!$G$2:$G$5))</f>
        <v/>
      </c>
      <c r="P910" s="16">
        <f>IF(A910="","",SUM(H910:K910))</f>
        <v/>
      </c>
      <c r="Q910" s="17">
        <f>IF(A910="","",IFERROR(P910/G910,""))</f>
        <v/>
      </c>
      <c r="R910" s="14">
        <f>IF(OR(A910="",G910=""),"",COUNTIFS($N$2:$N$1000,"&gt;0",$G$2:$G$1000,"&gt;"&amp;G910)+COUNTIFS($N$2:N910,"&gt;0",$G$2:G910,G910))</f>
        <v/>
      </c>
    </row>
    <row r="911">
      <c r="A911" s="9" t="n"/>
      <c r="B911" s="10" t="n"/>
      <c r="C911" s="10" t="n"/>
      <c r="D911" s="10" t="n"/>
      <c r="E911" s="10" t="n"/>
      <c r="F911" s="12" t="n"/>
      <c r="G911" s="13" t="n"/>
      <c r="H911" s="13" t="n"/>
      <c r="I911" s="13" t="n"/>
      <c r="J911" s="13" t="n"/>
      <c r="K911" s="13" t="n"/>
      <c r="L911" s="10" t="n"/>
      <c r="M911" s="10" t="n"/>
      <c r="N911" s="14">
        <f>IF(A911="","",WEEKNUM(A911,2))</f>
        <v/>
      </c>
      <c r="O911" s="15">
        <f>IF(OR(A911="",F911=""),"",LOOKUP(F911,Lists!$F$2:$F$5,Lists!$G$2:$G$5))</f>
        <v/>
      </c>
      <c r="P911" s="16">
        <f>IF(A911="","",SUM(H911:K911))</f>
        <v/>
      </c>
      <c r="Q911" s="17">
        <f>IF(A911="","",IFERROR(P911/G911,""))</f>
        <v/>
      </c>
      <c r="R911" s="14">
        <f>IF(OR(A911="",G911=""),"",COUNTIFS($N$2:$N$1000,"&gt;0",$G$2:$G$1000,"&gt;"&amp;G911)+COUNTIFS($N$2:N911,"&gt;0",$G$2:G911,G911))</f>
        <v/>
      </c>
    </row>
    <row r="912">
      <c r="A912" s="9" t="n"/>
      <c r="B912" s="10" t="n"/>
      <c r="C912" s="10" t="n"/>
      <c r="D912" s="10" t="n"/>
      <c r="E912" s="10" t="n"/>
      <c r="F912" s="12" t="n"/>
      <c r="G912" s="13" t="n"/>
      <c r="H912" s="13" t="n"/>
      <c r="I912" s="13" t="n"/>
      <c r="J912" s="13" t="n"/>
      <c r="K912" s="13" t="n"/>
      <c r="L912" s="10" t="n"/>
      <c r="M912" s="10" t="n"/>
      <c r="N912" s="14">
        <f>IF(A912="","",WEEKNUM(A912,2))</f>
        <v/>
      </c>
      <c r="O912" s="15">
        <f>IF(OR(A912="",F912=""),"",LOOKUP(F912,Lists!$F$2:$F$5,Lists!$G$2:$G$5))</f>
        <v/>
      </c>
      <c r="P912" s="16">
        <f>IF(A912="","",SUM(H912:K912))</f>
        <v/>
      </c>
      <c r="Q912" s="17">
        <f>IF(A912="","",IFERROR(P912/G912,""))</f>
        <v/>
      </c>
      <c r="R912" s="14">
        <f>IF(OR(A912="",G912=""),"",COUNTIFS($N$2:$N$1000,"&gt;0",$G$2:$G$1000,"&gt;"&amp;G912)+COUNTIFS($N$2:N912,"&gt;0",$G$2:G912,G912))</f>
        <v/>
      </c>
    </row>
    <row r="913">
      <c r="A913" s="9" t="n"/>
      <c r="B913" s="10" t="n"/>
      <c r="C913" s="10" t="n"/>
      <c r="D913" s="10" t="n"/>
      <c r="E913" s="10" t="n"/>
      <c r="F913" s="12" t="n"/>
      <c r="G913" s="13" t="n"/>
      <c r="H913" s="13" t="n"/>
      <c r="I913" s="13" t="n"/>
      <c r="J913" s="13" t="n"/>
      <c r="K913" s="13" t="n"/>
      <c r="L913" s="10" t="n"/>
      <c r="M913" s="10" t="n"/>
      <c r="N913" s="14">
        <f>IF(A913="","",WEEKNUM(A913,2))</f>
        <v/>
      </c>
      <c r="O913" s="15">
        <f>IF(OR(A913="",F913=""),"",LOOKUP(F913,Lists!$F$2:$F$5,Lists!$G$2:$G$5))</f>
        <v/>
      </c>
      <c r="P913" s="16">
        <f>IF(A913="","",SUM(H913:K913))</f>
        <v/>
      </c>
      <c r="Q913" s="17">
        <f>IF(A913="","",IFERROR(P913/G913,""))</f>
        <v/>
      </c>
      <c r="R913" s="14">
        <f>IF(OR(A913="",G913=""),"",COUNTIFS($N$2:$N$1000,"&gt;0",$G$2:$G$1000,"&gt;"&amp;G913)+COUNTIFS($N$2:N913,"&gt;0",$G$2:G913,G913))</f>
        <v/>
      </c>
    </row>
    <row r="914">
      <c r="A914" s="9" t="n"/>
      <c r="B914" s="10" t="n"/>
      <c r="C914" s="10" t="n"/>
      <c r="D914" s="10" t="n"/>
      <c r="E914" s="10" t="n"/>
      <c r="F914" s="12" t="n"/>
      <c r="G914" s="13" t="n"/>
      <c r="H914" s="13" t="n"/>
      <c r="I914" s="13" t="n"/>
      <c r="J914" s="13" t="n"/>
      <c r="K914" s="13" t="n"/>
      <c r="L914" s="10" t="n"/>
      <c r="M914" s="10" t="n"/>
      <c r="N914" s="14">
        <f>IF(A914="","",WEEKNUM(A914,2))</f>
        <v/>
      </c>
      <c r="O914" s="15">
        <f>IF(OR(A914="",F914=""),"",LOOKUP(F914,Lists!$F$2:$F$5,Lists!$G$2:$G$5))</f>
        <v/>
      </c>
      <c r="P914" s="16">
        <f>IF(A914="","",SUM(H914:K914))</f>
        <v/>
      </c>
      <c r="Q914" s="17">
        <f>IF(A914="","",IFERROR(P914/G914,""))</f>
        <v/>
      </c>
      <c r="R914" s="14">
        <f>IF(OR(A914="",G914=""),"",COUNTIFS($N$2:$N$1000,"&gt;0",$G$2:$G$1000,"&gt;"&amp;G914)+COUNTIFS($N$2:N914,"&gt;0",$G$2:G914,G914))</f>
        <v/>
      </c>
    </row>
    <row r="915">
      <c r="A915" s="9" t="n"/>
      <c r="B915" s="10" t="n"/>
      <c r="C915" s="10" t="n"/>
      <c r="D915" s="10" t="n"/>
      <c r="E915" s="10" t="n"/>
      <c r="F915" s="12" t="n"/>
      <c r="G915" s="13" t="n"/>
      <c r="H915" s="13" t="n"/>
      <c r="I915" s="13" t="n"/>
      <c r="J915" s="13" t="n"/>
      <c r="K915" s="13" t="n"/>
      <c r="L915" s="10" t="n"/>
      <c r="M915" s="10" t="n"/>
      <c r="N915" s="14">
        <f>IF(A915="","",WEEKNUM(A915,2))</f>
        <v/>
      </c>
      <c r="O915" s="15">
        <f>IF(OR(A915="",F915=""),"",LOOKUP(F915,Lists!$F$2:$F$5,Lists!$G$2:$G$5))</f>
        <v/>
      </c>
      <c r="P915" s="16">
        <f>IF(A915="","",SUM(H915:K915))</f>
        <v/>
      </c>
      <c r="Q915" s="17">
        <f>IF(A915="","",IFERROR(P915/G915,""))</f>
        <v/>
      </c>
      <c r="R915" s="14">
        <f>IF(OR(A915="",G915=""),"",COUNTIFS($N$2:$N$1000,"&gt;0",$G$2:$G$1000,"&gt;"&amp;G915)+COUNTIFS($N$2:N915,"&gt;0",$G$2:G915,G915))</f>
        <v/>
      </c>
    </row>
    <row r="916">
      <c r="A916" s="9" t="n"/>
      <c r="B916" s="10" t="n"/>
      <c r="C916" s="10" t="n"/>
      <c r="D916" s="10" t="n"/>
      <c r="E916" s="10" t="n"/>
      <c r="F916" s="12" t="n"/>
      <c r="G916" s="13" t="n"/>
      <c r="H916" s="13" t="n"/>
      <c r="I916" s="13" t="n"/>
      <c r="J916" s="13" t="n"/>
      <c r="K916" s="13" t="n"/>
      <c r="L916" s="10" t="n"/>
      <c r="M916" s="10" t="n"/>
      <c r="N916" s="14">
        <f>IF(A916="","",WEEKNUM(A916,2))</f>
        <v/>
      </c>
      <c r="O916" s="15">
        <f>IF(OR(A916="",F916=""),"",LOOKUP(F916,Lists!$F$2:$F$5,Lists!$G$2:$G$5))</f>
        <v/>
      </c>
      <c r="P916" s="16">
        <f>IF(A916="","",SUM(H916:K916))</f>
        <v/>
      </c>
      <c r="Q916" s="17">
        <f>IF(A916="","",IFERROR(P916/G916,""))</f>
        <v/>
      </c>
      <c r="R916" s="14">
        <f>IF(OR(A916="",G916=""),"",COUNTIFS($N$2:$N$1000,"&gt;0",$G$2:$G$1000,"&gt;"&amp;G916)+COUNTIFS($N$2:N916,"&gt;0",$G$2:G916,G916))</f>
        <v/>
      </c>
    </row>
    <row r="917">
      <c r="A917" s="9" t="n"/>
      <c r="B917" s="10" t="n"/>
      <c r="C917" s="10" t="n"/>
      <c r="D917" s="10" t="n"/>
      <c r="E917" s="10" t="n"/>
      <c r="F917" s="12" t="n"/>
      <c r="G917" s="13" t="n"/>
      <c r="H917" s="13" t="n"/>
      <c r="I917" s="13" t="n"/>
      <c r="J917" s="13" t="n"/>
      <c r="K917" s="13" t="n"/>
      <c r="L917" s="10" t="n"/>
      <c r="M917" s="10" t="n"/>
      <c r="N917" s="14">
        <f>IF(A917="","",WEEKNUM(A917,2))</f>
        <v/>
      </c>
      <c r="O917" s="15">
        <f>IF(OR(A917="",F917=""),"",LOOKUP(F917,Lists!$F$2:$F$5,Lists!$G$2:$G$5))</f>
        <v/>
      </c>
      <c r="P917" s="16">
        <f>IF(A917="","",SUM(H917:K917))</f>
        <v/>
      </c>
      <c r="Q917" s="17">
        <f>IF(A917="","",IFERROR(P917/G917,""))</f>
        <v/>
      </c>
      <c r="R917" s="14">
        <f>IF(OR(A917="",G917=""),"",COUNTIFS($N$2:$N$1000,"&gt;0",$G$2:$G$1000,"&gt;"&amp;G917)+COUNTIFS($N$2:N917,"&gt;0",$G$2:G917,G917))</f>
        <v/>
      </c>
    </row>
    <row r="918">
      <c r="A918" s="9" t="n"/>
      <c r="B918" s="10" t="n"/>
      <c r="C918" s="10" t="n"/>
      <c r="D918" s="10" t="n"/>
      <c r="E918" s="10" t="n"/>
      <c r="F918" s="12" t="n"/>
      <c r="G918" s="13" t="n"/>
      <c r="H918" s="13" t="n"/>
      <c r="I918" s="13" t="n"/>
      <c r="J918" s="13" t="n"/>
      <c r="K918" s="13" t="n"/>
      <c r="L918" s="10" t="n"/>
      <c r="M918" s="10" t="n"/>
      <c r="N918" s="14">
        <f>IF(A918="","",WEEKNUM(A918,2))</f>
        <v/>
      </c>
      <c r="O918" s="15">
        <f>IF(OR(A918="",F918=""),"",LOOKUP(F918,Lists!$F$2:$F$5,Lists!$G$2:$G$5))</f>
        <v/>
      </c>
      <c r="P918" s="16">
        <f>IF(A918="","",SUM(H918:K918))</f>
        <v/>
      </c>
      <c r="Q918" s="17">
        <f>IF(A918="","",IFERROR(P918/G918,""))</f>
        <v/>
      </c>
      <c r="R918" s="14">
        <f>IF(OR(A918="",G918=""),"",COUNTIFS($N$2:$N$1000,"&gt;0",$G$2:$G$1000,"&gt;"&amp;G918)+COUNTIFS($N$2:N918,"&gt;0",$G$2:G918,G918))</f>
        <v/>
      </c>
    </row>
    <row r="919">
      <c r="A919" s="9" t="n"/>
      <c r="B919" s="10" t="n"/>
      <c r="C919" s="10" t="n"/>
      <c r="D919" s="10" t="n"/>
      <c r="E919" s="10" t="n"/>
      <c r="F919" s="12" t="n"/>
      <c r="G919" s="13" t="n"/>
      <c r="H919" s="13" t="n"/>
      <c r="I919" s="13" t="n"/>
      <c r="J919" s="13" t="n"/>
      <c r="K919" s="13" t="n"/>
      <c r="L919" s="10" t="n"/>
      <c r="M919" s="10" t="n"/>
      <c r="N919" s="14">
        <f>IF(A919="","",WEEKNUM(A919,2))</f>
        <v/>
      </c>
      <c r="O919" s="15">
        <f>IF(OR(A919="",F919=""),"",LOOKUP(F919,Lists!$F$2:$F$5,Lists!$G$2:$G$5))</f>
        <v/>
      </c>
      <c r="P919" s="16">
        <f>IF(A919="","",SUM(H919:K919))</f>
        <v/>
      </c>
      <c r="Q919" s="17">
        <f>IF(A919="","",IFERROR(P919/G919,""))</f>
        <v/>
      </c>
      <c r="R919" s="14">
        <f>IF(OR(A919="",G919=""),"",COUNTIFS($N$2:$N$1000,"&gt;0",$G$2:$G$1000,"&gt;"&amp;G919)+COUNTIFS($N$2:N919,"&gt;0",$G$2:G919,G919))</f>
        <v/>
      </c>
    </row>
    <row r="920">
      <c r="A920" s="9" t="n"/>
      <c r="B920" s="10" t="n"/>
      <c r="C920" s="10" t="n"/>
      <c r="D920" s="10" t="n"/>
      <c r="E920" s="10" t="n"/>
      <c r="F920" s="12" t="n"/>
      <c r="G920" s="13" t="n"/>
      <c r="H920" s="13" t="n"/>
      <c r="I920" s="13" t="n"/>
      <c r="J920" s="13" t="n"/>
      <c r="K920" s="13" t="n"/>
      <c r="L920" s="10" t="n"/>
      <c r="M920" s="10" t="n"/>
      <c r="N920" s="14">
        <f>IF(A920="","",WEEKNUM(A920,2))</f>
        <v/>
      </c>
      <c r="O920" s="15">
        <f>IF(OR(A920="",F920=""),"",LOOKUP(F920,Lists!$F$2:$F$5,Lists!$G$2:$G$5))</f>
        <v/>
      </c>
      <c r="P920" s="16">
        <f>IF(A920="","",SUM(H920:K920))</f>
        <v/>
      </c>
      <c r="Q920" s="17">
        <f>IF(A920="","",IFERROR(P920/G920,""))</f>
        <v/>
      </c>
      <c r="R920" s="14">
        <f>IF(OR(A920="",G920=""),"",COUNTIFS($N$2:$N$1000,"&gt;0",$G$2:$G$1000,"&gt;"&amp;G920)+COUNTIFS($N$2:N920,"&gt;0",$G$2:G920,G920))</f>
        <v/>
      </c>
    </row>
    <row r="921">
      <c r="A921" s="9" t="n"/>
      <c r="B921" s="10" t="n"/>
      <c r="C921" s="10" t="n"/>
      <c r="D921" s="10" t="n"/>
      <c r="E921" s="10" t="n"/>
      <c r="F921" s="12" t="n"/>
      <c r="G921" s="13" t="n"/>
      <c r="H921" s="13" t="n"/>
      <c r="I921" s="13" t="n"/>
      <c r="J921" s="13" t="n"/>
      <c r="K921" s="13" t="n"/>
      <c r="L921" s="10" t="n"/>
      <c r="M921" s="10" t="n"/>
      <c r="N921" s="14">
        <f>IF(A921="","",WEEKNUM(A921,2))</f>
        <v/>
      </c>
      <c r="O921" s="15">
        <f>IF(OR(A921="",F921=""),"",LOOKUP(F921,Lists!$F$2:$F$5,Lists!$G$2:$G$5))</f>
        <v/>
      </c>
      <c r="P921" s="16">
        <f>IF(A921="","",SUM(H921:K921))</f>
        <v/>
      </c>
      <c r="Q921" s="17">
        <f>IF(A921="","",IFERROR(P921/G921,""))</f>
        <v/>
      </c>
      <c r="R921" s="14">
        <f>IF(OR(A921="",G921=""),"",COUNTIFS($N$2:$N$1000,"&gt;0",$G$2:$G$1000,"&gt;"&amp;G921)+COUNTIFS($N$2:N921,"&gt;0",$G$2:G921,G921))</f>
        <v/>
      </c>
    </row>
    <row r="922">
      <c r="A922" s="9" t="n"/>
      <c r="B922" s="10" t="n"/>
      <c r="C922" s="10" t="n"/>
      <c r="D922" s="10" t="n"/>
      <c r="E922" s="10" t="n"/>
      <c r="F922" s="12" t="n"/>
      <c r="G922" s="13" t="n"/>
      <c r="H922" s="13" t="n"/>
      <c r="I922" s="13" t="n"/>
      <c r="J922" s="13" t="n"/>
      <c r="K922" s="13" t="n"/>
      <c r="L922" s="10" t="n"/>
      <c r="M922" s="10" t="n"/>
      <c r="N922" s="14">
        <f>IF(A922="","",WEEKNUM(A922,2))</f>
        <v/>
      </c>
      <c r="O922" s="15">
        <f>IF(OR(A922="",F922=""),"",LOOKUP(F922,Lists!$F$2:$F$5,Lists!$G$2:$G$5))</f>
        <v/>
      </c>
      <c r="P922" s="16">
        <f>IF(A922="","",SUM(H922:K922))</f>
        <v/>
      </c>
      <c r="Q922" s="17">
        <f>IF(A922="","",IFERROR(P922/G922,""))</f>
        <v/>
      </c>
      <c r="R922" s="14">
        <f>IF(OR(A922="",G922=""),"",COUNTIFS($N$2:$N$1000,"&gt;0",$G$2:$G$1000,"&gt;"&amp;G922)+COUNTIFS($N$2:N922,"&gt;0",$G$2:G922,G922))</f>
        <v/>
      </c>
    </row>
    <row r="923">
      <c r="A923" s="9" t="n"/>
      <c r="B923" s="10" t="n"/>
      <c r="C923" s="10" t="n"/>
      <c r="D923" s="10" t="n"/>
      <c r="E923" s="10" t="n"/>
      <c r="F923" s="12" t="n"/>
      <c r="G923" s="13" t="n"/>
      <c r="H923" s="13" t="n"/>
      <c r="I923" s="13" t="n"/>
      <c r="J923" s="13" t="n"/>
      <c r="K923" s="13" t="n"/>
      <c r="L923" s="10" t="n"/>
      <c r="M923" s="10" t="n"/>
      <c r="N923" s="14">
        <f>IF(A923="","",WEEKNUM(A923,2))</f>
        <v/>
      </c>
      <c r="O923" s="15">
        <f>IF(OR(A923="",F923=""),"",LOOKUP(F923,Lists!$F$2:$F$5,Lists!$G$2:$G$5))</f>
        <v/>
      </c>
      <c r="P923" s="16">
        <f>IF(A923="","",SUM(H923:K923))</f>
        <v/>
      </c>
      <c r="Q923" s="17">
        <f>IF(A923="","",IFERROR(P923/G923,""))</f>
        <v/>
      </c>
      <c r="R923" s="14">
        <f>IF(OR(A923="",G923=""),"",COUNTIFS($N$2:$N$1000,"&gt;0",$G$2:$G$1000,"&gt;"&amp;G923)+COUNTIFS($N$2:N923,"&gt;0",$G$2:G923,G923))</f>
        <v/>
      </c>
    </row>
    <row r="924">
      <c r="A924" s="9" t="n"/>
      <c r="B924" s="10" t="n"/>
      <c r="C924" s="10" t="n"/>
      <c r="D924" s="10" t="n"/>
      <c r="E924" s="10" t="n"/>
      <c r="F924" s="12" t="n"/>
      <c r="G924" s="13" t="n"/>
      <c r="H924" s="13" t="n"/>
      <c r="I924" s="13" t="n"/>
      <c r="J924" s="13" t="n"/>
      <c r="K924" s="13" t="n"/>
      <c r="L924" s="10" t="n"/>
      <c r="M924" s="10" t="n"/>
      <c r="N924" s="14">
        <f>IF(A924="","",WEEKNUM(A924,2))</f>
        <v/>
      </c>
      <c r="O924" s="15">
        <f>IF(OR(A924="",F924=""),"",LOOKUP(F924,Lists!$F$2:$F$5,Lists!$G$2:$G$5))</f>
        <v/>
      </c>
      <c r="P924" s="16">
        <f>IF(A924="","",SUM(H924:K924))</f>
        <v/>
      </c>
      <c r="Q924" s="17">
        <f>IF(A924="","",IFERROR(P924/G924,""))</f>
        <v/>
      </c>
      <c r="R924" s="14">
        <f>IF(OR(A924="",G924=""),"",COUNTIFS($N$2:$N$1000,"&gt;0",$G$2:$G$1000,"&gt;"&amp;G924)+COUNTIFS($N$2:N924,"&gt;0",$G$2:G924,G924))</f>
        <v/>
      </c>
    </row>
    <row r="925">
      <c r="A925" s="9" t="n"/>
      <c r="B925" s="10" t="n"/>
      <c r="C925" s="10" t="n"/>
      <c r="D925" s="10" t="n"/>
      <c r="E925" s="10" t="n"/>
      <c r="F925" s="12" t="n"/>
      <c r="G925" s="13" t="n"/>
      <c r="H925" s="13" t="n"/>
      <c r="I925" s="13" t="n"/>
      <c r="J925" s="13" t="n"/>
      <c r="K925" s="13" t="n"/>
      <c r="L925" s="10" t="n"/>
      <c r="M925" s="10" t="n"/>
      <c r="N925" s="14">
        <f>IF(A925="","",WEEKNUM(A925,2))</f>
        <v/>
      </c>
      <c r="O925" s="15">
        <f>IF(OR(A925="",F925=""),"",LOOKUP(F925,Lists!$F$2:$F$5,Lists!$G$2:$G$5))</f>
        <v/>
      </c>
      <c r="P925" s="16">
        <f>IF(A925="","",SUM(H925:K925))</f>
        <v/>
      </c>
      <c r="Q925" s="17">
        <f>IF(A925="","",IFERROR(P925/G925,""))</f>
        <v/>
      </c>
      <c r="R925" s="14">
        <f>IF(OR(A925="",G925=""),"",COUNTIFS($N$2:$N$1000,"&gt;0",$G$2:$G$1000,"&gt;"&amp;G925)+COUNTIFS($N$2:N925,"&gt;0",$G$2:G925,G925))</f>
        <v/>
      </c>
    </row>
    <row r="926">
      <c r="A926" s="9" t="n"/>
      <c r="B926" s="10" t="n"/>
      <c r="C926" s="10" t="n"/>
      <c r="D926" s="10" t="n"/>
      <c r="E926" s="10" t="n"/>
      <c r="F926" s="12" t="n"/>
      <c r="G926" s="13" t="n"/>
      <c r="H926" s="13" t="n"/>
      <c r="I926" s="13" t="n"/>
      <c r="J926" s="13" t="n"/>
      <c r="K926" s="13" t="n"/>
      <c r="L926" s="10" t="n"/>
      <c r="M926" s="10" t="n"/>
      <c r="N926" s="14">
        <f>IF(A926="","",WEEKNUM(A926,2))</f>
        <v/>
      </c>
      <c r="O926" s="15">
        <f>IF(OR(A926="",F926=""),"",LOOKUP(F926,Lists!$F$2:$F$5,Lists!$G$2:$G$5))</f>
        <v/>
      </c>
      <c r="P926" s="16">
        <f>IF(A926="","",SUM(H926:K926))</f>
        <v/>
      </c>
      <c r="Q926" s="17">
        <f>IF(A926="","",IFERROR(P926/G926,""))</f>
        <v/>
      </c>
      <c r="R926" s="14">
        <f>IF(OR(A926="",G926=""),"",COUNTIFS($N$2:$N$1000,"&gt;0",$G$2:$G$1000,"&gt;"&amp;G926)+COUNTIFS($N$2:N926,"&gt;0",$G$2:G926,G926))</f>
        <v/>
      </c>
    </row>
    <row r="927">
      <c r="A927" s="9" t="n"/>
      <c r="B927" s="10" t="n"/>
      <c r="C927" s="10" t="n"/>
      <c r="D927" s="10" t="n"/>
      <c r="E927" s="10" t="n"/>
      <c r="F927" s="12" t="n"/>
      <c r="G927" s="13" t="n"/>
      <c r="H927" s="13" t="n"/>
      <c r="I927" s="13" t="n"/>
      <c r="J927" s="13" t="n"/>
      <c r="K927" s="13" t="n"/>
      <c r="L927" s="10" t="n"/>
      <c r="M927" s="10" t="n"/>
      <c r="N927" s="14">
        <f>IF(A927="","",WEEKNUM(A927,2))</f>
        <v/>
      </c>
      <c r="O927" s="15">
        <f>IF(OR(A927="",F927=""),"",LOOKUP(F927,Lists!$F$2:$F$5,Lists!$G$2:$G$5))</f>
        <v/>
      </c>
      <c r="P927" s="16">
        <f>IF(A927="","",SUM(H927:K927))</f>
        <v/>
      </c>
      <c r="Q927" s="17">
        <f>IF(A927="","",IFERROR(P927/G927,""))</f>
        <v/>
      </c>
      <c r="R927" s="14">
        <f>IF(OR(A927="",G927=""),"",COUNTIFS($N$2:$N$1000,"&gt;0",$G$2:$G$1000,"&gt;"&amp;G927)+COUNTIFS($N$2:N927,"&gt;0",$G$2:G927,G927))</f>
        <v/>
      </c>
    </row>
    <row r="928">
      <c r="A928" s="9" t="n"/>
      <c r="B928" s="10" t="n"/>
      <c r="C928" s="10" t="n"/>
      <c r="D928" s="10" t="n"/>
      <c r="E928" s="10" t="n"/>
      <c r="F928" s="12" t="n"/>
      <c r="G928" s="13" t="n"/>
      <c r="H928" s="13" t="n"/>
      <c r="I928" s="13" t="n"/>
      <c r="J928" s="13" t="n"/>
      <c r="K928" s="13" t="n"/>
      <c r="L928" s="10" t="n"/>
      <c r="M928" s="10" t="n"/>
      <c r="N928" s="14">
        <f>IF(A928="","",WEEKNUM(A928,2))</f>
        <v/>
      </c>
      <c r="O928" s="15">
        <f>IF(OR(A928="",F928=""),"",LOOKUP(F928,Lists!$F$2:$F$5,Lists!$G$2:$G$5))</f>
        <v/>
      </c>
      <c r="P928" s="16">
        <f>IF(A928="","",SUM(H928:K928))</f>
        <v/>
      </c>
      <c r="Q928" s="17">
        <f>IF(A928="","",IFERROR(P928/G928,""))</f>
        <v/>
      </c>
      <c r="R928" s="14">
        <f>IF(OR(A928="",G928=""),"",COUNTIFS($N$2:$N$1000,"&gt;0",$G$2:$G$1000,"&gt;"&amp;G928)+COUNTIFS($N$2:N928,"&gt;0",$G$2:G928,G928))</f>
        <v/>
      </c>
    </row>
    <row r="929">
      <c r="A929" s="9" t="n"/>
      <c r="B929" s="10" t="n"/>
      <c r="C929" s="10" t="n"/>
      <c r="D929" s="10" t="n"/>
      <c r="E929" s="10" t="n"/>
      <c r="F929" s="12" t="n"/>
      <c r="G929" s="13" t="n"/>
      <c r="H929" s="13" t="n"/>
      <c r="I929" s="13" t="n"/>
      <c r="J929" s="13" t="n"/>
      <c r="K929" s="13" t="n"/>
      <c r="L929" s="10" t="n"/>
      <c r="M929" s="10" t="n"/>
      <c r="N929" s="14">
        <f>IF(A929="","",WEEKNUM(A929,2))</f>
        <v/>
      </c>
      <c r="O929" s="15">
        <f>IF(OR(A929="",F929=""),"",LOOKUP(F929,Lists!$F$2:$F$5,Lists!$G$2:$G$5))</f>
        <v/>
      </c>
      <c r="P929" s="16">
        <f>IF(A929="","",SUM(H929:K929))</f>
        <v/>
      </c>
      <c r="Q929" s="17">
        <f>IF(A929="","",IFERROR(P929/G929,""))</f>
        <v/>
      </c>
      <c r="R929" s="14">
        <f>IF(OR(A929="",G929=""),"",COUNTIFS($N$2:$N$1000,"&gt;0",$G$2:$G$1000,"&gt;"&amp;G929)+COUNTIFS($N$2:N929,"&gt;0",$G$2:G929,G929))</f>
        <v/>
      </c>
    </row>
    <row r="930">
      <c r="A930" s="9" t="n"/>
      <c r="B930" s="10" t="n"/>
      <c r="C930" s="10" t="n"/>
      <c r="D930" s="10" t="n"/>
      <c r="E930" s="10" t="n"/>
      <c r="F930" s="12" t="n"/>
      <c r="G930" s="13" t="n"/>
      <c r="H930" s="13" t="n"/>
      <c r="I930" s="13" t="n"/>
      <c r="J930" s="13" t="n"/>
      <c r="K930" s="13" t="n"/>
      <c r="L930" s="10" t="n"/>
      <c r="M930" s="10" t="n"/>
      <c r="N930" s="14">
        <f>IF(A930="","",WEEKNUM(A930,2))</f>
        <v/>
      </c>
      <c r="O930" s="15">
        <f>IF(OR(A930="",F930=""),"",LOOKUP(F930,Lists!$F$2:$F$5,Lists!$G$2:$G$5))</f>
        <v/>
      </c>
      <c r="P930" s="16">
        <f>IF(A930="","",SUM(H930:K930))</f>
        <v/>
      </c>
      <c r="Q930" s="17">
        <f>IF(A930="","",IFERROR(P930/G930,""))</f>
        <v/>
      </c>
      <c r="R930" s="14">
        <f>IF(OR(A930="",G930=""),"",COUNTIFS($N$2:$N$1000,"&gt;0",$G$2:$G$1000,"&gt;"&amp;G930)+COUNTIFS($N$2:N930,"&gt;0",$G$2:G930,G930))</f>
        <v/>
      </c>
    </row>
    <row r="931">
      <c r="A931" s="9" t="n"/>
      <c r="B931" s="10" t="n"/>
      <c r="C931" s="10" t="n"/>
      <c r="D931" s="10" t="n"/>
      <c r="E931" s="10" t="n"/>
      <c r="F931" s="12" t="n"/>
      <c r="G931" s="13" t="n"/>
      <c r="H931" s="13" t="n"/>
      <c r="I931" s="13" t="n"/>
      <c r="J931" s="13" t="n"/>
      <c r="K931" s="13" t="n"/>
      <c r="L931" s="10" t="n"/>
      <c r="M931" s="10" t="n"/>
      <c r="N931" s="14">
        <f>IF(A931="","",WEEKNUM(A931,2))</f>
        <v/>
      </c>
      <c r="O931" s="15">
        <f>IF(OR(A931="",F931=""),"",LOOKUP(F931,Lists!$F$2:$F$5,Lists!$G$2:$G$5))</f>
        <v/>
      </c>
      <c r="P931" s="16">
        <f>IF(A931="","",SUM(H931:K931))</f>
        <v/>
      </c>
      <c r="Q931" s="17">
        <f>IF(A931="","",IFERROR(P931/G931,""))</f>
        <v/>
      </c>
      <c r="R931" s="14">
        <f>IF(OR(A931="",G931=""),"",COUNTIFS($N$2:$N$1000,"&gt;0",$G$2:$G$1000,"&gt;"&amp;G931)+COUNTIFS($N$2:N931,"&gt;0",$G$2:G931,G931))</f>
        <v/>
      </c>
    </row>
    <row r="932">
      <c r="A932" s="9" t="n"/>
      <c r="B932" s="10" t="n"/>
      <c r="C932" s="10" t="n"/>
      <c r="D932" s="10" t="n"/>
      <c r="E932" s="10" t="n"/>
      <c r="F932" s="12" t="n"/>
      <c r="G932" s="13" t="n"/>
      <c r="H932" s="13" t="n"/>
      <c r="I932" s="13" t="n"/>
      <c r="J932" s="13" t="n"/>
      <c r="K932" s="13" t="n"/>
      <c r="L932" s="10" t="n"/>
      <c r="M932" s="10" t="n"/>
      <c r="N932" s="14">
        <f>IF(A932="","",WEEKNUM(A932,2))</f>
        <v/>
      </c>
      <c r="O932" s="15">
        <f>IF(OR(A932="",F932=""),"",LOOKUP(F932,Lists!$F$2:$F$5,Lists!$G$2:$G$5))</f>
        <v/>
      </c>
      <c r="P932" s="16">
        <f>IF(A932="","",SUM(H932:K932))</f>
        <v/>
      </c>
      <c r="Q932" s="17">
        <f>IF(A932="","",IFERROR(P932/G932,""))</f>
        <v/>
      </c>
      <c r="R932" s="14">
        <f>IF(OR(A932="",G932=""),"",COUNTIFS($N$2:$N$1000,"&gt;0",$G$2:$G$1000,"&gt;"&amp;G932)+COUNTIFS($N$2:N932,"&gt;0",$G$2:G932,G932))</f>
        <v/>
      </c>
    </row>
    <row r="933">
      <c r="A933" s="9" t="n"/>
      <c r="B933" s="10" t="n"/>
      <c r="C933" s="10" t="n"/>
      <c r="D933" s="10" t="n"/>
      <c r="E933" s="10" t="n"/>
      <c r="F933" s="12" t="n"/>
      <c r="G933" s="13" t="n"/>
      <c r="H933" s="13" t="n"/>
      <c r="I933" s="13" t="n"/>
      <c r="J933" s="13" t="n"/>
      <c r="K933" s="13" t="n"/>
      <c r="L933" s="10" t="n"/>
      <c r="M933" s="10" t="n"/>
      <c r="N933" s="14">
        <f>IF(A933="","",WEEKNUM(A933,2))</f>
        <v/>
      </c>
      <c r="O933" s="15">
        <f>IF(OR(A933="",F933=""),"",LOOKUP(F933,Lists!$F$2:$F$5,Lists!$G$2:$G$5))</f>
        <v/>
      </c>
      <c r="P933" s="16">
        <f>IF(A933="","",SUM(H933:K933))</f>
        <v/>
      </c>
      <c r="Q933" s="17">
        <f>IF(A933="","",IFERROR(P933/G933,""))</f>
        <v/>
      </c>
      <c r="R933" s="14">
        <f>IF(OR(A933="",G933=""),"",COUNTIFS($N$2:$N$1000,"&gt;0",$G$2:$G$1000,"&gt;"&amp;G933)+COUNTIFS($N$2:N933,"&gt;0",$G$2:G933,G933))</f>
        <v/>
      </c>
    </row>
    <row r="934">
      <c r="A934" s="9" t="n"/>
      <c r="B934" s="10" t="n"/>
      <c r="C934" s="10" t="n"/>
      <c r="D934" s="10" t="n"/>
      <c r="E934" s="10" t="n"/>
      <c r="F934" s="12" t="n"/>
      <c r="G934" s="13" t="n"/>
      <c r="H934" s="13" t="n"/>
      <c r="I934" s="13" t="n"/>
      <c r="J934" s="13" t="n"/>
      <c r="K934" s="13" t="n"/>
      <c r="L934" s="10" t="n"/>
      <c r="M934" s="10" t="n"/>
      <c r="N934" s="14">
        <f>IF(A934="","",WEEKNUM(A934,2))</f>
        <v/>
      </c>
      <c r="O934" s="15">
        <f>IF(OR(A934="",F934=""),"",LOOKUP(F934,Lists!$F$2:$F$5,Lists!$G$2:$G$5))</f>
        <v/>
      </c>
      <c r="P934" s="16">
        <f>IF(A934="","",SUM(H934:K934))</f>
        <v/>
      </c>
      <c r="Q934" s="17">
        <f>IF(A934="","",IFERROR(P934/G934,""))</f>
        <v/>
      </c>
      <c r="R934" s="14">
        <f>IF(OR(A934="",G934=""),"",COUNTIFS($N$2:$N$1000,"&gt;0",$G$2:$G$1000,"&gt;"&amp;G934)+COUNTIFS($N$2:N934,"&gt;0",$G$2:G934,G934))</f>
        <v/>
      </c>
    </row>
    <row r="935">
      <c r="A935" s="9" t="n"/>
      <c r="B935" s="10" t="n"/>
      <c r="C935" s="10" t="n"/>
      <c r="D935" s="10" t="n"/>
      <c r="E935" s="10" t="n"/>
      <c r="F935" s="12" t="n"/>
      <c r="G935" s="13" t="n"/>
      <c r="H935" s="13" t="n"/>
      <c r="I935" s="13" t="n"/>
      <c r="J935" s="13" t="n"/>
      <c r="K935" s="13" t="n"/>
      <c r="L935" s="10" t="n"/>
      <c r="M935" s="10" t="n"/>
      <c r="N935" s="14">
        <f>IF(A935="","",WEEKNUM(A935,2))</f>
        <v/>
      </c>
      <c r="O935" s="15">
        <f>IF(OR(A935="",F935=""),"",LOOKUP(F935,Lists!$F$2:$F$5,Lists!$G$2:$G$5))</f>
        <v/>
      </c>
      <c r="P935" s="16">
        <f>IF(A935="","",SUM(H935:K935))</f>
        <v/>
      </c>
      <c r="Q935" s="17">
        <f>IF(A935="","",IFERROR(P935/G935,""))</f>
        <v/>
      </c>
      <c r="R935" s="14">
        <f>IF(OR(A935="",G935=""),"",COUNTIFS($N$2:$N$1000,"&gt;0",$G$2:$G$1000,"&gt;"&amp;G935)+COUNTIFS($N$2:N935,"&gt;0",$G$2:G935,G935))</f>
        <v/>
      </c>
    </row>
    <row r="936">
      <c r="A936" s="9" t="n"/>
      <c r="B936" s="10" t="n"/>
      <c r="C936" s="10" t="n"/>
      <c r="D936" s="10" t="n"/>
      <c r="E936" s="10" t="n"/>
      <c r="F936" s="12" t="n"/>
      <c r="G936" s="13" t="n"/>
      <c r="H936" s="13" t="n"/>
      <c r="I936" s="13" t="n"/>
      <c r="J936" s="13" t="n"/>
      <c r="K936" s="13" t="n"/>
      <c r="L936" s="10" t="n"/>
      <c r="M936" s="10" t="n"/>
      <c r="N936" s="14">
        <f>IF(A936="","",WEEKNUM(A936,2))</f>
        <v/>
      </c>
      <c r="O936" s="15">
        <f>IF(OR(A936="",F936=""),"",LOOKUP(F936,Lists!$F$2:$F$5,Lists!$G$2:$G$5))</f>
        <v/>
      </c>
      <c r="P936" s="16">
        <f>IF(A936="","",SUM(H936:K936))</f>
        <v/>
      </c>
      <c r="Q936" s="17">
        <f>IF(A936="","",IFERROR(P936/G936,""))</f>
        <v/>
      </c>
      <c r="R936" s="14">
        <f>IF(OR(A936="",G936=""),"",COUNTIFS($N$2:$N$1000,"&gt;0",$G$2:$G$1000,"&gt;"&amp;G936)+COUNTIFS($N$2:N936,"&gt;0",$G$2:G936,G936))</f>
        <v/>
      </c>
    </row>
    <row r="937">
      <c r="A937" s="9" t="n"/>
      <c r="B937" s="10" t="n"/>
      <c r="C937" s="10" t="n"/>
      <c r="D937" s="10" t="n"/>
      <c r="E937" s="10" t="n"/>
      <c r="F937" s="12" t="n"/>
      <c r="G937" s="13" t="n"/>
      <c r="H937" s="13" t="n"/>
      <c r="I937" s="13" t="n"/>
      <c r="J937" s="13" t="n"/>
      <c r="K937" s="13" t="n"/>
      <c r="L937" s="10" t="n"/>
      <c r="M937" s="10" t="n"/>
      <c r="N937" s="14">
        <f>IF(A937="","",WEEKNUM(A937,2))</f>
        <v/>
      </c>
      <c r="O937" s="15">
        <f>IF(OR(A937="",F937=""),"",LOOKUP(F937,Lists!$F$2:$F$5,Lists!$G$2:$G$5))</f>
        <v/>
      </c>
      <c r="P937" s="16">
        <f>IF(A937="","",SUM(H937:K937))</f>
        <v/>
      </c>
      <c r="Q937" s="17">
        <f>IF(A937="","",IFERROR(P937/G937,""))</f>
        <v/>
      </c>
      <c r="R937" s="14">
        <f>IF(OR(A937="",G937=""),"",COUNTIFS($N$2:$N$1000,"&gt;0",$G$2:$G$1000,"&gt;"&amp;G937)+COUNTIFS($N$2:N937,"&gt;0",$G$2:G937,G937))</f>
        <v/>
      </c>
    </row>
    <row r="938">
      <c r="A938" s="9" t="n"/>
      <c r="B938" s="10" t="n"/>
      <c r="C938" s="10" t="n"/>
      <c r="D938" s="10" t="n"/>
      <c r="E938" s="10" t="n"/>
      <c r="F938" s="12" t="n"/>
      <c r="G938" s="13" t="n"/>
      <c r="H938" s="13" t="n"/>
      <c r="I938" s="13" t="n"/>
      <c r="J938" s="13" t="n"/>
      <c r="K938" s="13" t="n"/>
      <c r="L938" s="10" t="n"/>
      <c r="M938" s="10" t="n"/>
      <c r="N938" s="14">
        <f>IF(A938="","",WEEKNUM(A938,2))</f>
        <v/>
      </c>
      <c r="O938" s="15">
        <f>IF(OR(A938="",F938=""),"",LOOKUP(F938,Lists!$F$2:$F$5,Lists!$G$2:$G$5))</f>
        <v/>
      </c>
      <c r="P938" s="16">
        <f>IF(A938="","",SUM(H938:K938))</f>
        <v/>
      </c>
      <c r="Q938" s="17">
        <f>IF(A938="","",IFERROR(P938/G938,""))</f>
        <v/>
      </c>
      <c r="R938" s="14">
        <f>IF(OR(A938="",G938=""),"",COUNTIFS($N$2:$N$1000,"&gt;0",$G$2:$G$1000,"&gt;"&amp;G938)+COUNTIFS($N$2:N938,"&gt;0",$G$2:G938,G938))</f>
        <v/>
      </c>
    </row>
    <row r="939">
      <c r="A939" s="9" t="n"/>
      <c r="B939" s="10" t="n"/>
      <c r="C939" s="10" t="n"/>
      <c r="D939" s="10" t="n"/>
      <c r="E939" s="10" t="n"/>
      <c r="F939" s="12" t="n"/>
      <c r="G939" s="13" t="n"/>
      <c r="H939" s="13" t="n"/>
      <c r="I939" s="13" t="n"/>
      <c r="J939" s="13" t="n"/>
      <c r="K939" s="13" t="n"/>
      <c r="L939" s="10" t="n"/>
      <c r="M939" s="10" t="n"/>
      <c r="N939" s="14">
        <f>IF(A939="","",WEEKNUM(A939,2))</f>
        <v/>
      </c>
      <c r="O939" s="15">
        <f>IF(OR(A939="",F939=""),"",LOOKUP(F939,Lists!$F$2:$F$5,Lists!$G$2:$G$5))</f>
        <v/>
      </c>
      <c r="P939" s="16">
        <f>IF(A939="","",SUM(H939:K939))</f>
        <v/>
      </c>
      <c r="Q939" s="17">
        <f>IF(A939="","",IFERROR(P939/G939,""))</f>
        <v/>
      </c>
      <c r="R939" s="14">
        <f>IF(OR(A939="",G939=""),"",COUNTIFS($N$2:$N$1000,"&gt;0",$G$2:$G$1000,"&gt;"&amp;G939)+COUNTIFS($N$2:N939,"&gt;0",$G$2:G939,G939))</f>
        <v/>
      </c>
    </row>
    <row r="940">
      <c r="A940" s="9" t="n"/>
      <c r="B940" s="10" t="n"/>
      <c r="C940" s="10" t="n"/>
      <c r="D940" s="10" t="n"/>
      <c r="E940" s="10" t="n"/>
      <c r="F940" s="12" t="n"/>
      <c r="G940" s="13" t="n"/>
      <c r="H940" s="13" t="n"/>
      <c r="I940" s="13" t="n"/>
      <c r="J940" s="13" t="n"/>
      <c r="K940" s="13" t="n"/>
      <c r="L940" s="10" t="n"/>
      <c r="M940" s="10" t="n"/>
      <c r="N940" s="14">
        <f>IF(A940="","",WEEKNUM(A940,2))</f>
        <v/>
      </c>
      <c r="O940" s="15">
        <f>IF(OR(A940="",F940=""),"",LOOKUP(F940,Lists!$F$2:$F$5,Lists!$G$2:$G$5))</f>
        <v/>
      </c>
      <c r="P940" s="16">
        <f>IF(A940="","",SUM(H940:K940))</f>
        <v/>
      </c>
      <c r="Q940" s="17">
        <f>IF(A940="","",IFERROR(P940/G940,""))</f>
        <v/>
      </c>
      <c r="R940" s="14">
        <f>IF(OR(A940="",G940=""),"",COUNTIFS($N$2:$N$1000,"&gt;0",$G$2:$G$1000,"&gt;"&amp;G940)+COUNTIFS($N$2:N940,"&gt;0",$G$2:G940,G940))</f>
        <v/>
      </c>
    </row>
    <row r="941">
      <c r="A941" s="9" t="n"/>
      <c r="B941" s="10" t="n"/>
      <c r="C941" s="10" t="n"/>
      <c r="D941" s="10" t="n"/>
      <c r="E941" s="10" t="n"/>
      <c r="F941" s="12" t="n"/>
      <c r="G941" s="13" t="n"/>
      <c r="H941" s="13" t="n"/>
      <c r="I941" s="13" t="n"/>
      <c r="J941" s="13" t="n"/>
      <c r="K941" s="13" t="n"/>
      <c r="L941" s="10" t="n"/>
      <c r="M941" s="10" t="n"/>
      <c r="N941" s="14">
        <f>IF(A941="","",WEEKNUM(A941,2))</f>
        <v/>
      </c>
      <c r="O941" s="15">
        <f>IF(OR(A941="",F941=""),"",LOOKUP(F941,Lists!$F$2:$F$5,Lists!$G$2:$G$5))</f>
        <v/>
      </c>
      <c r="P941" s="16">
        <f>IF(A941="","",SUM(H941:K941))</f>
        <v/>
      </c>
      <c r="Q941" s="17">
        <f>IF(A941="","",IFERROR(P941/G941,""))</f>
        <v/>
      </c>
      <c r="R941" s="14">
        <f>IF(OR(A941="",G941=""),"",COUNTIFS($N$2:$N$1000,"&gt;0",$G$2:$G$1000,"&gt;"&amp;G941)+COUNTIFS($N$2:N941,"&gt;0",$G$2:G941,G941))</f>
        <v/>
      </c>
    </row>
    <row r="942">
      <c r="A942" s="9" t="n"/>
      <c r="B942" s="10" t="n"/>
      <c r="C942" s="10" t="n"/>
      <c r="D942" s="10" t="n"/>
      <c r="E942" s="10" t="n"/>
      <c r="F942" s="12" t="n"/>
      <c r="G942" s="13" t="n"/>
      <c r="H942" s="13" t="n"/>
      <c r="I942" s="13" t="n"/>
      <c r="J942" s="13" t="n"/>
      <c r="K942" s="13" t="n"/>
      <c r="L942" s="10" t="n"/>
      <c r="M942" s="10" t="n"/>
      <c r="N942" s="14">
        <f>IF(A942="","",WEEKNUM(A942,2))</f>
        <v/>
      </c>
      <c r="O942" s="15">
        <f>IF(OR(A942="",F942=""),"",LOOKUP(F942,Lists!$F$2:$F$5,Lists!$G$2:$G$5))</f>
        <v/>
      </c>
      <c r="P942" s="16">
        <f>IF(A942="","",SUM(H942:K942))</f>
        <v/>
      </c>
      <c r="Q942" s="17">
        <f>IF(A942="","",IFERROR(P942/G942,""))</f>
        <v/>
      </c>
      <c r="R942" s="14">
        <f>IF(OR(A942="",G942=""),"",COUNTIFS($N$2:$N$1000,"&gt;0",$G$2:$G$1000,"&gt;"&amp;G942)+COUNTIFS($N$2:N942,"&gt;0",$G$2:G942,G942))</f>
        <v/>
      </c>
    </row>
    <row r="943">
      <c r="A943" s="9" t="n"/>
      <c r="B943" s="10" t="n"/>
      <c r="C943" s="10" t="n"/>
      <c r="D943" s="10" t="n"/>
      <c r="E943" s="10" t="n"/>
      <c r="F943" s="12" t="n"/>
      <c r="G943" s="13" t="n"/>
      <c r="H943" s="13" t="n"/>
      <c r="I943" s="13" t="n"/>
      <c r="J943" s="13" t="n"/>
      <c r="K943" s="13" t="n"/>
      <c r="L943" s="10" t="n"/>
      <c r="M943" s="10" t="n"/>
      <c r="N943" s="14">
        <f>IF(A943="","",WEEKNUM(A943,2))</f>
        <v/>
      </c>
      <c r="O943" s="15">
        <f>IF(OR(A943="",F943=""),"",LOOKUP(F943,Lists!$F$2:$F$5,Lists!$G$2:$G$5))</f>
        <v/>
      </c>
      <c r="P943" s="16">
        <f>IF(A943="","",SUM(H943:K943))</f>
        <v/>
      </c>
      <c r="Q943" s="17">
        <f>IF(A943="","",IFERROR(P943/G943,""))</f>
        <v/>
      </c>
      <c r="R943" s="14">
        <f>IF(OR(A943="",G943=""),"",COUNTIFS($N$2:$N$1000,"&gt;0",$G$2:$G$1000,"&gt;"&amp;G943)+COUNTIFS($N$2:N943,"&gt;0",$G$2:G943,G943))</f>
        <v/>
      </c>
    </row>
    <row r="944">
      <c r="A944" s="9" t="n"/>
      <c r="B944" s="10" t="n"/>
      <c r="C944" s="10" t="n"/>
      <c r="D944" s="10" t="n"/>
      <c r="E944" s="10" t="n"/>
      <c r="F944" s="12" t="n"/>
      <c r="G944" s="13" t="n"/>
      <c r="H944" s="13" t="n"/>
      <c r="I944" s="13" t="n"/>
      <c r="J944" s="13" t="n"/>
      <c r="K944" s="13" t="n"/>
      <c r="L944" s="10" t="n"/>
      <c r="M944" s="10" t="n"/>
      <c r="N944" s="14">
        <f>IF(A944="","",WEEKNUM(A944,2))</f>
        <v/>
      </c>
      <c r="O944" s="15">
        <f>IF(OR(A944="",F944=""),"",LOOKUP(F944,Lists!$F$2:$F$5,Lists!$G$2:$G$5))</f>
        <v/>
      </c>
      <c r="P944" s="16">
        <f>IF(A944="","",SUM(H944:K944))</f>
        <v/>
      </c>
      <c r="Q944" s="17">
        <f>IF(A944="","",IFERROR(P944/G944,""))</f>
        <v/>
      </c>
      <c r="R944" s="14">
        <f>IF(OR(A944="",G944=""),"",COUNTIFS($N$2:$N$1000,"&gt;0",$G$2:$G$1000,"&gt;"&amp;G944)+COUNTIFS($N$2:N944,"&gt;0",$G$2:G944,G944))</f>
        <v/>
      </c>
    </row>
    <row r="945">
      <c r="A945" s="9" t="n"/>
      <c r="B945" s="10" t="n"/>
      <c r="C945" s="10" t="n"/>
      <c r="D945" s="10" t="n"/>
      <c r="E945" s="10" t="n"/>
      <c r="F945" s="12" t="n"/>
      <c r="G945" s="13" t="n"/>
      <c r="H945" s="13" t="n"/>
      <c r="I945" s="13" t="n"/>
      <c r="J945" s="13" t="n"/>
      <c r="K945" s="13" t="n"/>
      <c r="L945" s="10" t="n"/>
      <c r="M945" s="10" t="n"/>
      <c r="N945" s="14">
        <f>IF(A945="","",WEEKNUM(A945,2))</f>
        <v/>
      </c>
      <c r="O945" s="15">
        <f>IF(OR(A945="",F945=""),"",LOOKUP(F945,Lists!$F$2:$F$5,Lists!$G$2:$G$5))</f>
        <v/>
      </c>
      <c r="P945" s="16">
        <f>IF(A945="","",SUM(H945:K945))</f>
        <v/>
      </c>
      <c r="Q945" s="17">
        <f>IF(A945="","",IFERROR(P945/G945,""))</f>
        <v/>
      </c>
      <c r="R945" s="14">
        <f>IF(OR(A945="",G945=""),"",COUNTIFS($N$2:$N$1000,"&gt;0",$G$2:$G$1000,"&gt;"&amp;G945)+COUNTIFS($N$2:N945,"&gt;0",$G$2:G945,G945))</f>
        <v/>
      </c>
    </row>
    <row r="946">
      <c r="A946" s="9" t="n"/>
      <c r="B946" s="10" t="n"/>
      <c r="C946" s="10" t="n"/>
      <c r="D946" s="10" t="n"/>
      <c r="E946" s="10" t="n"/>
      <c r="F946" s="12" t="n"/>
      <c r="G946" s="13" t="n"/>
      <c r="H946" s="13" t="n"/>
      <c r="I946" s="13" t="n"/>
      <c r="J946" s="13" t="n"/>
      <c r="K946" s="13" t="n"/>
      <c r="L946" s="10" t="n"/>
      <c r="M946" s="10" t="n"/>
      <c r="N946" s="14">
        <f>IF(A946="","",WEEKNUM(A946,2))</f>
        <v/>
      </c>
      <c r="O946" s="15">
        <f>IF(OR(A946="",F946=""),"",LOOKUP(F946,Lists!$F$2:$F$5,Lists!$G$2:$G$5))</f>
        <v/>
      </c>
      <c r="P946" s="16">
        <f>IF(A946="","",SUM(H946:K946))</f>
        <v/>
      </c>
      <c r="Q946" s="17">
        <f>IF(A946="","",IFERROR(P946/G946,""))</f>
        <v/>
      </c>
      <c r="R946" s="14">
        <f>IF(OR(A946="",G946=""),"",COUNTIFS($N$2:$N$1000,"&gt;0",$G$2:$G$1000,"&gt;"&amp;G946)+COUNTIFS($N$2:N946,"&gt;0",$G$2:G946,G946))</f>
        <v/>
      </c>
    </row>
    <row r="947">
      <c r="A947" s="9" t="n"/>
      <c r="B947" s="10" t="n"/>
      <c r="C947" s="10" t="n"/>
      <c r="D947" s="10" t="n"/>
      <c r="E947" s="10" t="n"/>
      <c r="F947" s="12" t="n"/>
      <c r="G947" s="13" t="n"/>
      <c r="H947" s="13" t="n"/>
      <c r="I947" s="13" t="n"/>
      <c r="J947" s="13" t="n"/>
      <c r="K947" s="13" t="n"/>
      <c r="L947" s="10" t="n"/>
      <c r="M947" s="10" t="n"/>
      <c r="N947" s="14">
        <f>IF(A947="","",WEEKNUM(A947,2))</f>
        <v/>
      </c>
      <c r="O947" s="15">
        <f>IF(OR(A947="",F947=""),"",LOOKUP(F947,Lists!$F$2:$F$5,Lists!$G$2:$G$5))</f>
        <v/>
      </c>
      <c r="P947" s="16">
        <f>IF(A947="","",SUM(H947:K947))</f>
        <v/>
      </c>
      <c r="Q947" s="17">
        <f>IF(A947="","",IFERROR(P947/G947,""))</f>
        <v/>
      </c>
      <c r="R947" s="14">
        <f>IF(OR(A947="",G947=""),"",COUNTIFS($N$2:$N$1000,"&gt;0",$G$2:$G$1000,"&gt;"&amp;G947)+COUNTIFS($N$2:N947,"&gt;0",$G$2:G947,G947))</f>
        <v/>
      </c>
    </row>
    <row r="948">
      <c r="A948" s="9" t="n"/>
      <c r="B948" s="10" t="n"/>
      <c r="C948" s="10" t="n"/>
      <c r="D948" s="10" t="n"/>
      <c r="E948" s="10" t="n"/>
      <c r="F948" s="12" t="n"/>
      <c r="G948" s="13" t="n"/>
      <c r="H948" s="13" t="n"/>
      <c r="I948" s="13" t="n"/>
      <c r="J948" s="13" t="n"/>
      <c r="K948" s="13" t="n"/>
      <c r="L948" s="10" t="n"/>
      <c r="M948" s="10" t="n"/>
      <c r="N948" s="14">
        <f>IF(A948="","",WEEKNUM(A948,2))</f>
        <v/>
      </c>
      <c r="O948" s="15">
        <f>IF(OR(A948="",F948=""),"",LOOKUP(F948,Lists!$F$2:$F$5,Lists!$G$2:$G$5))</f>
        <v/>
      </c>
      <c r="P948" s="16">
        <f>IF(A948="","",SUM(H948:K948))</f>
        <v/>
      </c>
      <c r="Q948" s="17">
        <f>IF(A948="","",IFERROR(P948/G948,""))</f>
        <v/>
      </c>
      <c r="R948" s="14">
        <f>IF(OR(A948="",G948=""),"",COUNTIFS($N$2:$N$1000,"&gt;0",$G$2:$G$1000,"&gt;"&amp;G948)+COUNTIFS($N$2:N948,"&gt;0",$G$2:G948,G948))</f>
        <v/>
      </c>
    </row>
    <row r="949">
      <c r="A949" s="9" t="n"/>
      <c r="B949" s="10" t="n"/>
      <c r="C949" s="10" t="n"/>
      <c r="D949" s="10" t="n"/>
      <c r="E949" s="10" t="n"/>
      <c r="F949" s="12" t="n"/>
      <c r="G949" s="13" t="n"/>
      <c r="H949" s="13" t="n"/>
      <c r="I949" s="13" t="n"/>
      <c r="J949" s="13" t="n"/>
      <c r="K949" s="13" t="n"/>
      <c r="L949" s="10" t="n"/>
      <c r="M949" s="10" t="n"/>
      <c r="N949" s="14">
        <f>IF(A949="","",WEEKNUM(A949,2))</f>
        <v/>
      </c>
      <c r="O949" s="15">
        <f>IF(OR(A949="",F949=""),"",LOOKUP(F949,Lists!$F$2:$F$5,Lists!$G$2:$G$5))</f>
        <v/>
      </c>
      <c r="P949" s="16">
        <f>IF(A949="","",SUM(H949:K949))</f>
        <v/>
      </c>
      <c r="Q949" s="17">
        <f>IF(A949="","",IFERROR(P949/G949,""))</f>
        <v/>
      </c>
      <c r="R949" s="14">
        <f>IF(OR(A949="",G949=""),"",COUNTIFS($N$2:$N$1000,"&gt;0",$G$2:$G$1000,"&gt;"&amp;G949)+COUNTIFS($N$2:N949,"&gt;0",$G$2:G949,G949))</f>
        <v/>
      </c>
    </row>
    <row r="950">
      <c r="A950" s="9" t="n"/>
      <c r="B950" s="10" t="n"/>
      <c r="C950" s="10" t="n"/>
      <c r="D950" s="10" t="n"/>
      <c r="E950" s="10" t="n"/>
      <c r="F950" s="12" t="n"/>
      <c r="G950" s="13" t="n"/>
      <c r="H950" s="13" t="n"/>
      <c r="I950" s="13" t="n"/>
      <c r="J950" s="13" t="n"/>
      <c r="K950" s="13" t="n"/>
      <c r="L950" s="10" t="n"/>
      <c r="M950" s="10" t="n"/>
      <c r="N950" s="14">
        <f>IF(A950="","",WEEKNUM(A950,2))</f>
        <v/>
      </c>
      <c r="O950" s="15">
        <f>IF(OR(A950="",F950=""),"",LOOKUP(F950,Lists!$F$2:$F$5,Lists!$G$2:$G$5))</f>
        <v/>
      </c>
      <c r="P950" s="16">
        <f>IF(A950="","",SUM(H950:K950))</f>
        <v/>
      </c>
      <c r="Q950" s="17">
        <f>IF(A950="","",IFERROR(P950/G950,""))</f>
        <v/>
      </c>
      <c r="R950" s="14">
        <f>IF(OR(A950="",G950=""),"",COUNTIFS($N$2:$N$1000,"&gt;0",$G$2:$G$1000,"&gt;"&amp;G950)+COUNTIFS($N$2:N950,"&gt;0",$G$2:G950,G950))</f>
        <v/>
      </c>
    </row>
    <row r="951">
      <c r="A951" s="9" t="n"/>
      <c r="B951" s="10" t="n"/>
      <c r="C951" s="10" t="n"/>
      <c r="D951" s="10" t="n"/>
      <c r="E951" s="10" t="n"/>
      <c r="F951" s="12" t="n"/>
      <c r="G951" s="13" t="n"/>
      <c r="H951" s="13" t="n"/>
      <c r="I951" s="13" t="n"/>
      <c r="J951" s="13" t="n"/>
      <c r="K951" s="13" t="n"/>
      <c r="L951" s="10" t="n"/>
      <c r="M951" s="10" t="n"/>
      <c r="N951" s="14">
        <f>IF(A951="","",WEEKNUM(A951,2))</f>
        <v/>
      </c>
      <c r="O951" s="15">
        <f>IF(OR(A951="",F951=""),"",LOOKUP(F951,Lists!$F$2:$F$5,Lists!$G$2:$G$5))</f>
        <v/>
      </c>
      <c r="P951" s="16">
        <f>IF(A951="","",SUM(H951:K951))</f>
        <v/>
      </c>
      <c r="Q951" s="17">
        <f>IF(A951="","",IFERROR(P951/G951,""))</f>
        <v/>
      </c>
      <c r="R951" s="14">
        <f>IF(OR(A951="",G951=""),"",COUNTIFS($N$2:$N$1000,"&gt;0",$G$2:$G$1000,"&gt;"&amp;G951)+COUNTIFS($N$2:N951,"&gt;0",$G$2:G951,G951))</f>
        <v/>
      </c>
    </row>
    <row r="952">
      <c r="A952" s="9" t="n"/>
      <c r="B952" s="10" t="n"/>
      <c r="C952" s="10" t="n"/>
      <c r="D952" s="10" t="n"/>
      <c r="E952" s="10" t="n"/>
      <c r="F952" s="12" t="n"/>
      <c r="G952" s="13" t="n"/>
      <c r="H952" s="13" t="n"/>
      <c r="I952" s="13" t="n"/>
      <c r="J952" s="13" t="n"/>
      <c r="K952" s="13" t="n"/>
      <c r="L952" s="10" t="n"/>
      <c r="M952" s="10" t="n"/>
      <c r="N952" s="14">
        <f>IF(A952="","",WEEKNUM(A952,2))</f>
        <v/>
      </c>
      <c r="O952" s="15">
        <f>IF(OR(A952="",F952=""),"",LOOKUP(F952,Lists!$F$2:$F$5,Lists!$G$2:$G$5))</f>
        <v/>
      </c>
      <c r="P952" s="16">
        <f>IF(A952="","",SUM(H952:K952))</f>
        <v/>
      </c>
      <c r="Q952" s="17">
        <f>IF(A952="","",IFERROR(P952/G952,""))</f>
        <v/>
      </c>
      <c r="R952" s="14">
        <f>IF(OR(A952="",G952=""),"",COUNTIFS($N$2:$N$1000,"&gt;0",$G$2:$G$1000,"&gt;"&amp;G952)+COUNTIFS($N$2:N952,"&gt;0",$G$2:G952,G952))</f>
        <v/>
      </c>
    </row>
    <row r="953">
      <c r="A953" s="9" t="n"/>
      <c r="B953" s="10" t="n"/>
      <c r="C953" s="10" t="n"/>
      <c r="D953" s="10" t="n"/>
      <c r="E953" s="10" t="n"/>
      <c r="F953" s="12" t="n"/>
      <c r="G953" s="13" t="n"/>
      <c r="H953" s="13" t="n"/>
      <c r="I953" s="13" t="n"/>
      <c r="J953" s="13" t="n"/>
      <c r="K953" s="13" t="n"/>
      <c r="L953" s="10" t="n"/>
      <c r="M953" s="10" t="n"/>
      <c r="N953" s="14">
        <f>IF(A953="","",WEEKNUM(A953,2))</f>
        <v/>
      </c>
      <c r="O953" s="15">
        <f>IF(OR(A953="",F953=""),"",LOOKUP(F953,Lists!$F$2:$F$5,Lists!$G$2:$G$5))</f>
        <v/>
      </c>
      <c r="P953" s="16">
        <f>IF(A953="","",SUM(H953:K953))</f>
        <v/>
      </c>
      <c r="Q953" s="17">
        <f>IF(A953="","",IFERROR(P953/G953,""))</f>
        <v/>
      </c>
      <c r="R953" s="14">
        <f>IF(OR(A953="",G953=""),"",COUNTIFS($N$2:$N$1000,"&gt;0",$G$2:$G$1000,"&gt;"&amp;G953)+COUNTIFS($N$2:N953,"&gt;0",$G$2:G953,G953))</f>
        <v/>
      </c>
    </row>
    <row r="954">
      <c r="A954" s="9" t="n"/>
      <c r="B954" s="10" t="n"/>
      <c r="C954" s="10" t="n"/>
      <c r="D954" s="10" t="n"/>
      <c r="E954" s="10" t="n"/>
      <c r="F954" s="12" t="n"/>
      <c r="G954" s="13" t="n"/>
      <c r="H954" s="13" t="n"/>
      <c r="I954" s="13" t="n"/>
      <c r="J954" s="13" t="n"/>
      <c r="K954" s="13" t="n"/>
      <c r="L954" s="10" t="n"/>
      <c r="M954" s="10" t="n"/>
      <c r="N954" s="14">
        <f>IF(A954="","",WEEKNUM(A954,2))</f>
        <v/>
      </c>
      <c r="O954" s="15">
        <f>IF(OR(A954="",F954=""),"",LOOKUP(F954,Lists!$F$2:$F$5,Lists!$G$2:$G$5))</f>
        <v/>
      </c>
      <c r="P954" s="16">
        <f>IF(A954="","",SUM(H954:K954))</f>
        <v/>
      </c>
      <c r="Q954" s="17">
        <f>IF(A954="","",IFERROR(P954/G954,""))</f>
        <v/>
      </c>
      <c r="R954" s="14">
        <f>IF(OR(A954="",G954=""),"",COUNTIFS($N$2:$N$1000,"&gt;0",$G$2:$G$1000,"&gt;"&amp;G954)+COUNTIFS($N$2:N954,"&gt;0",$G$2:G954,G954))</f>
        <v/>
      </c>
    </row>
    <row r="955">
      <c r="A955" s="9" t="n"/>
      <c r="B955" s="10" t="n"/>
      <c r="C955" s="10" t="n"/>
      <c r="D955" s="10" t="n"/>
      <c r="E955" s="10" t="n"/>
      <c r="F955" s="12" t="n"/>
      <c r="G955" s="13" t="n"/>
      <c r="H955" s="13" t="n"/>
      <c r="I955" s="13" t="n"/>
      <c r="J955" s="13" t="n"/>
      <c r="K955" s="13" t="n"/>
      <c r="L955" s="10" t="n"/>
      <c r="M955" s="10" t="n"/>
      <c r="N955" s="14">
        <f>IF(A955="","",WEEKNUM(A955,2))</f>
        <v/>
      </c>
      <c r="O955" s="15">
        <f>IF(OR(A955="",F955=""),"",LOOKUP(F955,Lists!$F$2:$F$5,Lists!$G$2:$G$5))</f>
        <v/>
      </c>
      <c r="P955" s="16">
        <f>IF(A955="","",SUM(H955:K955))</f>
        <v/>
      </c>
      <c r="Q955" s="17">
        <f>IF(A955="","",IFERROR(P955/G955,""))</f>
        <v/>
      </c>
      <c r="R955" s="14">
        <f>IF(OR(A955="",G955=""),"",COUNTIFS($N$2:$N$1000,"&gt;0",$G$2:$G$1000,"&gt;"&amp;G955)+COUNTIFS($N$2:N955,"&gt;0",$G$2:G955,G955))</f>
        <v/>
      </c>
    </row>
    <row r="956">
      <c r="A956" s="9" t="n"/>
      <c r="B956" s="10" t="n"/>
      <c r="C956" s="10" t="n"/>
      <c r="D956" s="10" t="n"/>
      <c r="E956" s="10" t="n"/>
      <c r="F956" s="12" t="n"/>
      <c r="G956" s="13" t="n"/>
      <c r="H956" s="13" t="n"/>
      <c r="I956" s="13" t="n"/>
      <c r="J956" s="13" t="n"/>
      <c r="K956" s="13" t="n"/>
      <c r="L956" s="10" t="n"/>
      <c r="M956" s="10" t="n"/>
      <c r="N956" s="14">
        <f>IF(A956="","",WEEKNUM(A956,2))</f>
        <v/>
      </c>
      <c r="O956" s="15">
        <f>IF(OR(A956="",F956=""),"",LOOKUP(F956,Lists!$F$2:$F$5,Lists!$G$2:$G$5))</f>
        <v/>
      </c>
      <c r="P956" s="16">
        <f>IF(A956="","",SUM(H956:K956))</f>
        <v/>
      </c>
      <c r="Q956" s="17">
        <f>IF(A956="","",IFERROR(P956/G956,""))</f>
        <v/>
      </c>
      <c r="R956" s="14">
        <f>IF(OR(A956="",G956=""),"",COUNTIFS($N$2:$N$1000,"&gt;0",$G$2:$G$1000,"&gt;"&amp;G956)+COUNTIFS($N$2:N956,"&gt;0",$G$2:G956,G956))</f>
        <v/>
      </c>
    </row>
    <row r="957">
      <c r="A957" s="9" t="n"/>
      <c r="B957" s="10" t="n"/>
      <c r="C957" s="10" t="n"/>
      <c r="D957" s="10" t="n"/>
      <c r="E957" s="10" t="n"/>
      <c r="F957" s="12" t="n"/>
      <c r="G957" s="13" t="n"/>
      <c r="H957" s="13" t="n"/>
      <c r="I957" s="13" t="n"/>
      <c r="J957" s="13" t="n"/>
      <c r="K957" s="13" t="n"/>
      <c r="L957" s="10" t="n"/>
      <c r="M957" s="10" t="n"/>
      <c r="N957" s="14">
        <f>IF(A957="","",WEEKNUM(A957,2))</f>
        <v/>
      </c>
      <c r="O957" s="15">
        <f>IF(OR(A957="",F957=""),"",LOOKUP(F957,Lists!$F$2:$F$5,Lists!$G$2:$G$5))</f>
        <v/>
      </c>
      <c r="P957" s="16">
        <f>IF(A957="","",SUM(H957:K957))</f>
        <v/>
      </c>
      <c r="Q957" s="17">
        <f>IF(A957="","",IFERROR(P957/G957,""))</f>
        <v/>
      </c>
      <c r="R957" s="14">
        <f>IF(OR(A957="",G957=""),"",COUNTIFS($N$2:$N$1000,"&gt;0",$G$2:$G$1000,"&gt;"&amp;G957)+COUNTIFS($N$2:N957,"&gt;0",$G$2:G957,G957))</f>
        <v/>
      </c>
    </row>
    <row r="958">
      <c r="A958" s="9" t="n"/>
      <c r="B958" s="10" t="n"/>
      <c r="C958" s="10" t="n"/>
      <c r="D958" s="10" t="n"/>
      <c r="E958" s="10" t="n"/>
      <c r="F958" s="12" t="n"/>
      <c r="G958" s="13" t="n"/>
      <c r="H958" s="13" t="n"/>
      <c r="I958" s="13" t="n"/>
      <c r="J958" s="13" t="n"/>
      <c r="K958" s="13" t="n"/>
      <c r="L958" s="10" t="n"/>
      <c r="M958" s="10" t="n"/>
      <c r="N958" s="14">
        <f>IF(A958="","",WEEKNUM(A958,2))</f>
        <v/>
      </c>
      <c r="O958" s="15">
        <f>IF(OR(A958="",F958=""),"",LOOKUP(F958,Lists!$F$2:$F$5,Lists!$G$2:$G$5))</f>
        <v/>
      </c>
      <c r="P958" s="16">
        <f>IF(A958="","",SUM(H958:K958))</f>
        <v/>
      </c>
      <c r="Q958" s="17">
        <f>IF(A958="","",IFERROR(P958/G958,""))</f>
        <v/>
      </c>
      <c r="R958" s="14">
        <f>IF(OR(A958="",G958=""),"",COUNTIFS($N$2:$N$1000,"&gt;0",$G$2:$G$1000,"&gt;"&amp;G958)+COUNTIFS($N$2:N958,"&gt;0",$G$2:G958,G958))</f>
        <v/>
      </c>
    </row>
    <row r="959">
      <c r="A959" s="9" t="n"/>
      <c r="B959" s="10" t="n"/>
      <c r="C959" s="10" t="n"/>
      <c r="D959" s="10" t="n"/>
      <c r="E959" s="10" t="n"/>
      <c r="F959" s="12" t="n"/>
      <c r="G959" s="13" t="n"/>
      <c r="H959" s="13" t="n"/>
      <c r="I959" s="13" t="n"/>
      <c r="J959" s="13" t="n"/>
      <c r="K959" s="13" t="n"/>
      <c r="L959" s="10" t="n"/>
      <c r="M959" s="10" t="n"/>
      <c r="N959" s="14">
        <f>IF(A959="","",WEEKNUM(A959,2))</f>
        <v/>
      </c>
      <c r="O959" s="15">
        <f>IF(OR(A959="",F959=""),"",LOOKUP(F959,Lists!$F$2:$F$5,Lists!$G$2:$G$5))</f>
        <v/>
      </c>
      <c r="P959" s="16">
        <f>IF(A959="","",SUM(H959:K959))</f>
        <v/>
      </c>
      <c r="Q959" s="17">
        <f>IF(A959="","",IFERROR(P959/G959,""))</f>
        <v/>
      </c>
      <c r="R959" s="14">
        <f>IF(OR(A959="",G959=""),"",COUNTIFS($N$2:$N$1000,"&gt;0",$G$2:$G$1000,"&gt;"&amp;G959)+COUNTIFS($N$2:N959,"&gt;0",$G$2:G959,G959))</f>
        <v/>
      </c>
    </row>
    <row r="960">
      <c r="A960" s="9" t="n"/>
      <c r="B960" s="10" t="n"/>
      <c r="C960" s="10" t="n"/>
      <c r="D960" s="10" t="n"/>
      <c r="E960" s="10" t="n"/>
      <c r="F960" s="12" t="n"/>
      <c r="G960" s="13" t="n"/>
      <c r="H960" s="13" t="n"/>
      <c r="I960" s="13" t="n"/>
      <c r="J960" s="13" t="n"/>
      <c r="K960" s="13" t="n"/>
      <c r="L960" s="10" t="n"/>
      <c r="M960" s="10" t="n"/>
      <c r="N960" s="14">
        <f>IF(A960="","",WEEKNUM(A960,2))</f>
        <v/>
      </c>
      <c r="O960" s="15">
        <f>IF(OR(A960="",F960=""),"",LOOKUP(F960,Lists!$F$2:$F$5,Lists!$G$2:$G$5))</f>
        <v/>
      </c>
      <c r="P960" s="16">
        <f>IF(A960="","",SUM(H960:K960))</f>
        <v/>
      </c>
      <c r="Q960" s="17">
        <f>IF(A960="","",IFERROR(P960/G960,""))</f>
        <v/>
      </c>
      <c r="R960" s="14">
        <f>IF(OR(A960="",G960=""),"",COUNTIFS($N$2:$N$1000,"&gt;0",$G$2:$G$1000,"&gt;"&amp;G960)+COUNTIFS($N$2:N960,"&gt;0",$G$2:G960,G960))</f>
        <v/>
      </c>
    </row>
    <row r="961">
      <c r="A961" s="9" t="n"/>
      <c r="B961" s="10" t="n"/>
      <c r="C961" s="10" t="n"/>
      <c r="D961" s="10" t="n"/>
      <c r="E961" s="10" t="n"/>
      <c r="F961" s="12" t="n"/>
      <c r="G961" s="13" t="n"/>
      <c r="H961" s="13" t="n"/>
      <c r="I961" s="13" t="n"/>
      <c r="J961" s="13" t="n"/>
      <c r="K961" s="13" t="n"/>
      <c r="L961" s="10" t="n"/>
      <c r="M961" s="10" t="n"/>
      <c r="N961" s="14">
        <f>IF(A961="","",WEEKNUM(A961,2))</f>
        <v/>
      </c>
      <c r="O961" s="15">
        <f>IF(OR(A961="",F961=""),"",LOOKUP(F961,Lists!$F$2:$F$5,Lists!$G$2:$G$5))</f>
        <v/>
      </c>
      <c r="P961" s="16">
        <f>IF(A961="","",SUM(H961:K961))</f>
        <v/>
      </c>
      <c r="Q961" s="17">
        <f>IF(A961="","",IFERROR(P961/G961,""))</f>
        <v/>
      </c>
      <c r="R961" s="14">
        <f>IF(OR(A961="",G961=""),"",COUNTIFS($N$2:$N$1000,"&gt;0",$G$2:$G$1000,"&gt;"&amp;G961)+COUNTIFS($N$2:N961,"&gt;0",$G$2:G961,G961))</f>
        <v/>
      </c>
    </row>
    <row r="962">
      <c r="A962" s="9" t="n"/>
      <c r="B962" s="10" t="n"/>
      <c r="C962" s="10" t="n"/>
      <c r="D962" s="10" t="n"/>
      <c r="E962" s="10" t="n"/>
      <c r="F962" s="12" t="n"/>
      <c r="G962" s="13" t="n"/>
      <c r="H962" s="13" t="n"/>
      <c r="I962" s="13" t="n"/>
      <c r="J962" s="13" t="n"/>
      <c r="K962" s="13" t="n"/>
      <c r="L962" s="10" t="n"/>
      <c r="M962" s="10" t="n"/>
      <c r="N962" s="14">
        <f>IF(A962="","",WEEKNUM(A962,2))</f>
        <v/>
      </c>
      <c r="O962" s="15">
        <f>IF(OR(A962="",F962=""),"",LOOKUP(F962,Lists!$F$2:$F$5,Lists!$G$2:$G$5))</f>
        <v/>
      </c>
      <c r="P962" s="16">
        <f>IF(A962="","",SUM(H962:K962))</f>
        <v/>
      </c>
      <c r="Q962" s="17">
        <f>IF(A962="","",IFERROR(P962/G962,""))</f>
        <v/>
      </c>
      <c r="R962" s="14">
        <f>IF(OR(A962="",G962=""),"",COUNTIFS($N$2:$N$1000,"&gt;0",$G$2:$G$1000,"&gt;"&amp;G962)+COUNTIFS($N$2:N962,"&gt;0",$G$2:G962,G962))</f>
        <v/>
      </c>
    </row>
    <row r="963">
      <c r="A963" s="9" t="n"/>
      <c r="B963" s="10" t="n"/>
      <c r="C963" s="10" t="n"/>
      <c r="D963" s="10" t="n"/>
      <c r="E963" s="10" t="n"/>
      <c r="F963" s="12" t="n"/>
      <c r="G963" s="13" t="n"/>
      <c r="H963" s="13" t="n"/>
      <c r="I963" s="13" t="n"/>
      <c r="J963" s="13" t="n"/>
      <c r="K963" s="13" t="n"/>
      <c r="L963" s="10" t="n"/>
      <c r="M963" s="10" t="n"/>
      <c r="N963" s="14">
        <f>IF(A963="","",WEEKNUM(A963,2))</f>
        <v/>
      </c>
      <c r="O963" s="15">
        <f>IF(OR(A963="",F963=""),"",LOOKUP(F963,Lists!$F$2:$F$5,Lists!$G$2:$G$5))</f>
        <v/>
      </c>
      <c r="P963" s="16">
        <f>IF(A963="","",SUM(H963:K963))</f>
        <v/>
      </c>
      <c r="Q963" s="17">
        <f>IF(A963="","",IFERROR(P963/G963,""))</f>
        <v/>
      </c>
      <c r="R963" s="14">
        <f>IF(OR(A963="",G963=""),"",COUNTIFS($N$2:$N$1000,"&gt;0",$G$2:$G$1000,"&gt;"&amp;G963)+COUNTIFS($N$2:N963,"&gt;0",$G$2:G963,G963))</f>
        <v/>
      </c>
    </row>
    <row r="964">
      <c r="A964" s="9" t="n"/>
      <c r="B964" s="10" t="n"/>
      <c r="C964" s="10" t="n"/>
      <c r="D964" s="10" t="n"/>
      <c r="E964" s="10" t="n"/>
      <c r="F964" s="12" t="n"/>
      <c r="G964" s="13" t="n"/>
      <c r="H964" s="13" t="n"/>
      <c r="I964" s="13" t="n"/>
      <c r="J964" s="13" t="n"/>
      <c r="K964" s="13" t="n"/>
      <c r="L964" s="10" t="n"/>
      <c r="M964" s="10" t="n"/>
      <c r="N964" s="14">
        <f>IF(A964="","",WEEKNUM(A964,2))</f>
        <v/>
      </c>
      <c r="O964" s="15">
        <f>IF(OR(A964="",F964=""),"",LOOKUP(F964,Lists!$F$2:$F$5,Lists!$G$2:$G$5))</f>
        <v/>
      </c>
      <c r="P964" s="16">
        <f>IF(A964="","",SUM(H964:K964))</f>
        <v/>
      </c>
      <c r="Q964" s="17">
        <f>IF(A964="","",IFERROR(P964/G964,""))</f>
        <v/>
      </c>
      <c r="R964" s="14">
        <f>IF(OR(A964="",G964=""),"",COUNTIFS($N$2:$N$1000,"&gt;0",$G$2:$G$1000,"&gt;"&amp;G964)+COUNTIFS($N$2:N964,"&gt;0",$G$2:G964,G964))</f>
        <v/>
      </c>
    </row>
    <row r="965">
      <c r="A965" s="9" t="n"/>
      <c r="B965" s="10" t="n"/>
      <c r="C965" s="10" t="n"/>
      <c r="D965" s="10" t="n"/>
      <c r="E965" s="10" t="n"/>
      <c r="F965" s="12" t="n"/>
      <c r="G965" s="13" t="n"/>
      <c r="H965" s="13" t="n"/>
      <c r="I965" s="13" t="n"/>
      <c r="J965" s="13" t="n"/>
      <c r="K965" s="13" t="n"/>
      <c r="L965" s="10" t="n"/>
      <c r="M965" s="10" t="n"/>
      <c r="N965" s="14">
        <f>IF(A965="","",WEEKNUM(A965,2))</f>
        <v/>
      </c>
      <c r="O965" s="15">
        <f>IF(OR(A965="",F965=""),"",LOOKUP(F965,Lists!$F$2:$F$5,Lists!$G$2:$G$5))</f>
        <v/>
      </c>
      <c r="P965" s="16">
        <f>IF(A965="","",SUM(H965:K965))</f>
        <v/>
      </c>
      <c r="Q965" s="17">
        <f>IF(A965="","",IFERROR(P965/G965,""))</f>
        <v/>
      </c>
      <c r="R965" s="14">
        <f>IF(OR(A965="",G965=""),"",COUNTIFS($N$2:$N$1000,"&gt;0",$G$2:$G$1000,"&gt;"&amp;G965)+COUNTIFS($N$2:N965,"&gt;0",$G$2:G965,G965))</f>
        <v/>
      </c>
    </row>
    <row r="966">
      <c r="A966" s="9" t="n"/>
      <c r="B966" s="10" t="n"/>
      <c r="C966" s="10" t="n"/>
      <c r="D966" s="10" t="n"/>
      <c r="E966" s="10" t="n"/>
      <c r="F966" s="12" t="n"/>
      <c r="G966" s="13" t="n"/>
      <c r="H966" s="13" t="n"/>
      <c r="I966" s="13" t="n"/>
      <c r="J966" s="13" t="n"/>
      <c r="K966" s="13" t="n"/>
      <c r="L966" s="10" t="n"/>
      <c r="M966" s="10" t="n"/>
      <c r="N966" s="14">
        <f>IF(A966="","",WEEKNUM(A966,2))</f>
        <v/>
      </c>
      <c r="O966" s="15">
        <f>IF(OR(A966="",F966=""),"",LOOKUP(F966,Lists!$F$2:$F$5,Lists!$G$2:$G$5))</f>
        <v/>
      </c>
      <c r="P966" s="16">
        <f>IF(A966="","",SUM(H966:K966))</f>
        <v/>
      </c>
      <c r="Q966" s="17">
        <f>IF(A966="","",IFERROR(P966/G966,""))</f>
        <v/>
      </c>
      <c r="R966" s="14">
        <f>IF(OR(A966="",G966=""),"",COUNTIFS($N$2:$N$1000,"&gt;0",$G$2:$G$1000,"&gt;"&amp;G966)+COUNTIFS($N$2:N966,"&gt;0",$G$2:G966,G966))</f>
        <v/>
      </c>
    </row>
    <row r="967">
      <c r="A967" s="9" t="n"/>
      <c r="B967" s="10" t="n"/>
      <c r="C967" s="10" t="n"/>
      <c r="D967" s="10" t="n"/>
      <c r="E967" s="10" t="n"/>
      <c r="F967" s="12" t="n"/>
      <c r="G967" s="13" t="n"/>
      <c r="H967" s="13" t="n"/>
      <c r="I967" s="13" t="n"/>
      <c r="J967" s="13" t="n"/>
      <c r="K967" s="13" t="n"/>
      <c r="L967" s="10" t="n"/>
      <c r="M967" s="10" t="n"/>
      <c r="N967" s="14">
        <f>IF(A967="","",WEEKNUM(A967,2))</f>
        <v/>
      </c>
      <c r="O967" s="15">
        <f>IF(OR(A967="",F967=""),"",LOOKUP(F967,Lists!$F$2:$F$5,Lists!$G$2:$G$5))</f>
        <v/>
      </c>
      <c r="P967" s="16">
        <f>IF(A967="","",SUM(H967:K967))</f>
        <v/>
      </c>
      <c r="Q967" s="17">
        <f>IF(A967="","",IFERROR(P967/G967,""))</f>
        <v/>
      </c>
      <c r="R967" s="14">
        <f>IF(OR(A967="",G967=""),"",COUNTIFS($N$2:$N$1000,"&gt;0",$G$2:$G$1000,"&gt;"&amp;G967)+COUNTIFS($N$2:N967,"&gt;0",$G$2:G967,G967))</f>
        <v/>
      </c>
    </row>
    <row r="968">
      <c r="A968" s="9" t="n"/>
      <c r="B968" s="10" t="n"/>
      <c r="C968" s="10" t="n"/>
      <c r="D968" s="10" t="n"/>
      <c r="E968" s="10" t="n"/>
      <c r="F968" s="12" t="n"/>
      <c r="G968" s="13" t="n"/>
      <c r="H968" s="13" t="n"/>
      <c r="I968" s="13" t="n"/>
      <c r="J968" s="13" t="n"/>
      <c r="K968" s="13" t="n"/>
      <c r="L968" s="10" t="n"/>
      <c r="M968" s="10" t="n"/>
      <c r="N968" s="14">
        <f>IF(A968="","",WEEKNUM(A968,2))</f>
        <v/>
      </c>
      <c r="O968" s="15">
        <f>IF(OR(A968="",F968=""),"",LOOKUP(F968,Lists!$F$2:$F$5,Lists!$G$2:$G$5))</f>
        <v/>
      </c>
      <c r="P968" s="16">
        <f>IF(A968="","",SUM(H968:K968))</f>
        <v/>
      </c>
      <c r="Q968" s="17">
        <f>IF(A968="","",IFERROR(P968/G968,""))</f>
        <v/>
      </c>
      <c r="R968" s="14">
        <f>IF(OR(A968="",G968=""),"",COUNTIFS($N$2:$N$1000,"&gt;0",$G$2:$G$1000,"&gt;"&amp;G968)+COUNTIFS($N$2:N968,"&gt;0",$G$2:G968,G968))</f>
        <v/>
      </c>
    </row>
    <row r="969">
      <c r="A969" s="9" t="n"/>
      <c r="B969" s="10" t="n"/>
      <c r="C969" s="10" t="n"/>
      <c r="D969" s="10" t="n"/>
      <c r="E969" s="10" t="n"/>
      <c r="F969" s="12" t="n"/>
      <c r="G969" s="13" t="n"/>
      <c r="H969" s="13" t="n"/>
      <c r="I969" s="13" t="n"/>
      <c r="J969" s="13" t="n"/>
      <c r="K969" s="13" t="n"/>
      <c r="L969" s="10" t="n"/>
      <c r="M969" s="10" t="n"/>
      <c r="N969" s="14">
        <f>IF(A969="","",WEEKNUM(A969,2))</f>
        <v/>
      </c>
      <c r="O969" s="15">
        <f>IF(OR(A969="",F969=""),"",LOOKUP(F969,Lists!$F$2:$F$5,Lists!$G$2:$G$5))</f>
        <v/>
      </c>
      <c r="P969" s="16">
        <f>IF(A969="","",SUM(H969:K969))</f>
        <v/>
      </c>
      <c r="Q969" s="17">
        <f>IF(A969="","",IFERROR(P969/G969,""))</f>
        <v/>
      </c>
      <c r="R969" s="14">
        <f>IF(OR(A969="",G969=""),"",COUNTIFS($N$2:$N$1000,"&gt;0",$G$2:$G$1000,"&gt;"&amp;G969)+COUNTIFS($N$2:N969,"&gt;0",$G$2:G969,G969))</f>
        <v/>
      </c>
    </row>
    <row r="970">
      <c r="A970" s="9" t="n"/>
      <c r="B970" s="10" t="n"/>
      <c r="C970" s="10" t="n"/>
      <c r="D970" s="10" t="n"/>
      <c r="E970" s="10" t="n"/>
      <c r="F970" s="12" t="n"/>
      <c r="G970" s="13" t="n"/>
      <c r="H970" s="13" t="n"/>
      <c r="I970" s="13" t="n"/>
      <c r="J970" s="13" t="n"/>
      <c r="K970" s="13" t="n"/>
      <c r="L970" s="10" t="n"/>
      <c r="M970" s="10" t="n"/>
      <c r="N970" s="14">
        <f>IF(A970="","",WEEKNUM(A970,2))</f>
        <v/>
      </c>
      <c r="O970" s="15">
        <f>IF(OR(A970="",F970=""),"",LOOKUP(F970,Lists!$F$2:$F$5,Lists!$G$2:$G$5))</f>
        <v/>
      </c>
      <c r="P970" s="16">
        <f>IF(A970="","",SUM(H970:K970))</f>
        <v/>
      </c>
      <c r="Q970" s="17">
        <f>IF(A970="","",IFERROR(P970/G970,""))</f>
        <v/>
      </c>
      <c r="R970" s="14">
        <f>IF(OR(A970="",G970=""),"",COUNTIFS($N$2:$N$1000,"&gt;0",$G$2:$G$1000,"&gt;"&amp;G970)+COUNTIFS($N$2:N970,"&gt;0",$G$2:G970,G970))</f>
        <v/>
      </c>
    </row>
    <row r="971">
      <c r="A971" s="9" t="n"/>
      <c r="B971" s="10" t="n"/>
      <c r="C971" s="10" t="n"/>
      <c r="D971" s="10" t="n"/>
      <c r="E971" s="10" t="n"/>
      <c r="F971" s="12" t="n"/>
      <c r="G971" s="13" t="n"/>
      <c r="H971" s="13" t="n"/>
      <c r="I971" s="13" t="n"/>
      <c r="J971" s="13" t="n"/>
      <c r="K971" s="13" t="n"/>
      <c r="L971" s="10" t="n"/>
      <c r="M971" s="10" t="n"/>
      <c r="N971" s="14">
        <f>IF(A971="","",WEEKNUM(A971,2))</f>
        <v/>
      </c>
      <c r="O971" s="15">
        <f>IF(OR(A971="",F971=""),"",LOOKUP(F971,Lists!$F$2:$F$5,Lists!$G$2:$G$5))</f>
        <v/>
      </c>
      <c r="P971" s="16">
        <f>IF(A971="","",SUM(H971:K971))</f>
        <v/>
      </c>
      <c r="Q971" s="17">
        <f>IF(A971="","",IFERROR(P971/G971,""))</f>
        <v/>
      </c>
      <c r="R971" s="14">
        <f>IF(OR(A971="",G971=""),"",COUNTIFS($N$2:$N$1000,"&gt;0",$G$2:$G$1000,"&gt;"&amp;G971)+COUNTIFS($N$2:N971,"&gt;0",$G$2:G971,G971))</f>
        <v/>
      </c>
    </row>
    <row r="972">
      <c r="A972" s="9" t="n"/>
      <c r="B972" s="10" t="n"/>
      <c r="C972" s="10" t="n"/>
      <c r="D972" s="10" t="n"/>
      <c r="E972" s="10" t="n"/>
      <c r="F972" s="12" t="n"/>
      <c r="G972" s="13" t="n"/>
      <c r="H972" s="13" t="n"/>
      <c r="I972" s="13" t="n"/>
      <c r="J972" s="13" t="n"/>
      <c r="K972" s="13" t="n"/>
      <c r="L972" s="10" t="n"/>
      <c r="M972" s="10" t="n"/>
      <c r="N972" s="14">
        <f>IF(A972="","",WEEKNUM(A972,2))</f>
        <v/>
      </c>
      <c r="O972" s="15">
        <f>IF(OR(A972="",F972=""),"",LOOKUP(F972,Lists!$F$2:$F$5,Lists!$G$2:$G$5))</f>
        <v/>
      </c>
      <c r="P972" s="16">
        <f>IF(A972="","",SUM(H972:K972))</f>
        <v/>
      </c>
      <c r="Q972" s="17">
        <f>IF(A972="","",IFERROR(P972/G972,""))</f>
        <v/>
      </c>
      <c r="R972" s="14">
        <f>IF(OR(A972="",G972=""),"",COUNTIFS($N$2:$N$1000,"&gt;0",$G$2:$G$1000,"&gt;"&amp;G972)+COUNTIFS($N$2:N972,"&gt;0",$G$2:G972,G972))</f>
        <v/>
      </c>
    </row>
    <row r="973">
      <c r="A973" s="9" t="n"/>
      <c r="B973" s="10" t="n"/>
      <c r="C973" s="10" t="n"/>
      <c r="D973" s="10" t="n"/>
      <c r="E973" s="10" t="n"/>
      <c r="F973" s="12" t="n"/>
      <c r="G973" s="13" t="n"/>
      <c r="H973" s="13" t="n"/>
      <c r="I973" s="13" t="n"/>
      <c r="J973" s="13" t="n"/>
      <c r="K973" s="13" t="n"/>
      <c r="L973" s="10" t="n"/>
      <c r="M973" s="10" t="n"/>
      <c r="N973" s="14">
        <f>IF(A973="","",WEEKNUM(A973,2))</f>
        <v/>
      </c>
      <c r="O973" s="15">
        <f>IF(OR(A973="",F973=""),"",LOOKUP(F973,Lists!$F$2:$F$5,Lists!$G$2:$G$5))</f>
        <v/>
      </c>
      <c r="P973" s="16">
        <f>IF(A973="","",SUM(H973:K973))</f>
        <v/>
      </c>
      <c r="Q973" s="17">
        <f>IF(A973="","",IFERROR(P973/G973,""))</f>
        <v/>
      </c>
      <c r="R973" s="14">
        <f>IF(OR(A973="",G973=""),"",COUNTIFS($N$2:$N$1000,"&gt;0",$G$2:$G$1000,"&gt;"&amp;G973)+COUNTIFS($N$2:N973,"&gt;0",$G$2:G973,G973))</f>
        <v/>
      </c>
    </row>
    <row r="974">
      <c r="A974" s="9" t="n"/>
      <c r="B974" s="10" t="n"/>
      <c r="C974" s="10" t="n"/>
      <c r="D974" s="10" t="n"/>
      <c r="E974" s="10" t="n"/>
      <c r="F974" s="12" t="n"/>
      <c r="G974" s="13" t="n"/>
      <c r="H974" s="13" t="n"/>
      <c r="I974" s="13" t="n"/>
      <c r="J974" s="13" t="n"/>
      <c r="K974" s="13" t="n"/>
      <c r="L974" s="10" t="n"/>
      <c r="M974" s="10" t="n"/>
      <c r="N974" s="14">
        <f>IF(A974="","",WEEKNUM(A974,2))</f>
        <v/>
      </c>
      <c r="O974" s="15">
        <f>IF(OR(A974="",F974=""),"",LOOKUP(F974,Lists!$F$2:$F$5,Lists!$G$2:$G$5))</f>
        <v/>
      </c>
      <c r="P974" s="16">
        <f>IF(A974="","",SUM(H974:K974))</f>
        <v/>
      </c>
      <c r="Q974" s="17">
        <f>IF(A974="","",IFERROR(P974/G974,""))</f>
        <v/>
      </c>
      <c r="R974" s="14">
        <f>IF(OR(A974="",G974=""),"",COUNTIFS($N$2:$N$1000,"&gt;0",$G$2:$G$1000,"&gt;"&amp;G974)+COUNTIFS($N$2:N974,"&gt;0",$G$2:G974,G974))</f>
        <v/>
      </c>
    </row>
    <row r="975">
      <c r="A975" s="9" t="n"/>
      <c r="B975" s="10" t="n"/>
      <c r="C975" s="10" t="n"/>
      <c r="D975" s="10" t="n"/>
      <c r="E975" s="10" t="n"/>
      <c r="F975" s="12" t="n"/>
      <c r="G975" s="13" t="n"/>
      <c r="H975" s="13" t="n"/>
      <c r="I975" s="13" t="n"/>
      <c r="J975" s="13" t="n"/>
      <c r="K975" s="13" t="n"/>
      <c r="L975" s="10" t="n"/>
      <c r="M975" s="10" t="n"/>
      <c r="N975" s="14">
        <f>IF(A975="","",WEEKNUM(A975,2))</f>
        <v/>
      </c>
      <c r="O975" s="15">
        <f>IF(OR(A975="",F975=""),"",LOOKUP(F975,Lists!$F$2:$F$5,Lists!$G$2:$G$5))</f>
        <v/>
      </c>
      <c r="P975" s="16">
        <f>IF(A975="","",SUM(H975:K975))</f>
        <v/>
      </c>
      <c r="Q975" s="17">
        <f>IF(A975="","",IFERROR(P975/G975,""))</f>
        <v/>
      </c>
      <c r="R975" s="14">
        <f>IF(OR(A975="",G975=""),"",COUNTIFS($N$2:$N$1000,"&gt;0",$G$2:$G$1000,"&gt;"&amp;G975)+COUNTIFS($N$2:N975,"&gt;0",$G$2:G975,G975))</f>
        <v/>
      </c>
    </row>
    <row r="976">
      <c r="A976" s="9" t="n"/>
      <c r="B976" s="10" t="n"/>
      <c r="C976" s="10" t="n"/>
      <c r="D976" s="10" t="n"/>
      <c r="E976" s="10" t="n"/>
      <c r="F976" s="12" t="n"/>
      <c r="G976" s="13" t="n"/>
      <c r="H976" s="13" t="n"/>
      <c r="I976" s="13" t="n"/>
      <c r="J976" s="13" t="n"/>
      <c r="K976" s="13" t="n"/>
      <c r="L976" s="10" t="n"/>
      <c r="M976" s="10" t="n"/>
      <c r="N976" s="14">
        <f>IF(A976="","",WEEKNUM(A976,2))</f>
        <v/>
      </c>
      <c r="O976" s="15">
        <f>IF(OR(A976="",F976=""),"",LOOKUP(F976,Lists!$F$2:$F$5,Lists!$G$2:$G$5))</f>
        <v/>
      </c>
      <c r="P976" s="16">
        <f>IF(A976="","",SUM(H976:K976))</f>
        <v/>
      </c>
      <c r="Q976" s="17">
        <f>IF(A976="","",IFERROR(P976/G976,""))</f>
        <v/>
      </c>
      <c r="R976" s="14">
        <f>IF(OR(A976="",G976=""),"",COUNTIFS($N$2:$N$1000,"&gt;0",$G$2:$G$1000,"&gt;"&amp;G976)+COUNTIFS($N$2:N976,"&gt;0",$G$2:G976,G976))</f>
        <v/>
      </c>
    </row>
    <row r="977">
      <c r="A977" s="9" t="n"/>
      <c r="B977" s="10" t="n"/>
      <c r="C977" s="10" t="n"/>
      <c r="D977" s="10" t="n"/>
      <c r="E977" s="10" t="n"/>
      <c r="F977" s="12" t="n"/>
      <c r="G977" s="13" t="n"/>
      <c r="H977" s="13" t="n"/>
      <c r="I977" s="13" t="n"/>
      <c r="J977" s="13" t="n"/>
      <c r="K977" s="13" t="n"/>
      <c r="L977" s="10" t="n"/>
      <c r="M977" s="10" t="n"/>
      <c r="N977" s="14">
        <f>IF(A977="","",WEEKNUM(A977,2))</f>
        <v/>
      </c>
      <c r="O977" s="15">
        <f>IF(OR(A977="",F977=""),"",LOOKUP(F977,Lists!$F$2:$F$5,Lists!$G$2:$G$5))</f>
        <v/>
      </c>
      <c r="P977" s="16">
        <f>IF(A977="","",SUM(H977:K977))</f>
        <v/>
      </c>
      <c r="Q977" s="17">
        <f>IF(A977="","",IFERROR(P977/G977,""))</f>
        <v/>
      </c>
      <c r="R977" s="14">
        <f>IF(OR(A977="",G977=""),"",COUNTIFS($N$2:$N$1000,"&gt;0",$G$2:$G$1000,"&gt;"&amp;G977)+COUNTIFS($N$2:N977,"&gt;0",$G$2:G977,G977))</f>
        <v/>
      </c>
    </row>
    <row r="978">
      <c r="A978" s="9" t="n"/>
      <c r="B978" s="10" t="n"/>
      <c r="C978" s="10" t="n"/>
      <c r="D978" s="10" t="n"/>
      <c r="E978" s="10" t="n"/>
      <c r="F978" s="12" t="n"/>
      <c r="G978" s="13" t="n"/>
      <c r="H978" s="13" t="n"/>
      <c r="I978" s="13" t="n"/>
      <c r="J978" s="13" t="n"/>
      <c r="K978" s="13" t="n"/>
      <c r="L978" s="10" t="n"/>
      <c r="M978" s="10" t="n"/>
      <c r="N978" s="14">
        <f>IF(A978="","",WEEKNUM(A978,2))</f>
        <v/>
      </c>
      <c r="O978" s="15">
        <f>IF(OR(A978="",F978=""),"",LOOKUP(F978,Lists!$F$2:$F$5,Lists!$G$2:$G$5))</f>
        <v/>
      </c>
      <c r="P978" s="16">
        <f>IF(A978="","",SUM(H978:K978))</f>
        <v/>
      </c>
      <c r="Q978" s="17">
        <f>IF(A978="","",IFERROR(P978/G978,""))</f>
        <v/>
      </c>
      <c r="R978" s="14">
        <f>IF(OR(A978="",G978=""),"",COUNTIFS($N$2:$N$1000,"&gt;0",$G$2:$G$1000,"&gt;"&amp;G978)+COUNTIFS($N$2:N978,"&gt;0",$G$2:G978,G978))</f>
        <v/>
      </c>
    </row>
    <row r="979">
      <c r="A979" s="9" t="n"/>
      <c r="B979" s="10" t="n"/>
      <c r="C979" s="10" t="n"/>
      <c r="D979" s="10" t="n"/>
      <c r="E979" s="10" t="n"/>
      <c r="F979" s="12" t="n"/>
      <c r="G979" s="13" t="n"/>
      <c r="H979" s="13" t="n"/>
      <c r="I979" s="13" t="n"/>
      <c r="J979" s="13" t="n"/>
      <c r="K979" s="13" t="n"/>
      <c r="L979" s="10" t="n"/>
      <c r="M979" s="10" t="n"/>
      <c r="N979" s="14">
        <f>IF(A979="","",WEEKNUM(A979,2))</f>
        <v/>
      </c>
      <c r="O979" s="15">
        <f>IF(OR(A979="",F979=""),"",LOOKUP(F979,Lists!$F$2:$F$5,Lists!$G$2:$G$5))</f>
        <v/>
      </c>
      <c r="P979" s="16">
        <f>IF(A979="","",SUM(H979:K979))</f>
        <v/>
      </c>
      <c r="Q979" s="17">
        <f>IF(A979="","",IFERROR(P979/G979,""))</f>
        <v/>
      </c>
      <c r="R979" s="14">
        <f>IF(OR(A979="",G979=""),"",COUNTIFS($N$2:$N$1000,"&gt;0",$G$2:$G$1000,"&gt;"&amp;G979)+COUNTIFS($N$2:N979,"&gt;0",$G$2:G979,G979))</f>
        <v/>
      </c>
    </row>
    <row r="980">
      <c r="A980" s="9" t="n"/>
      <c r="B980" s="10" t="n"/>
      <c r="C980" s="10" t="n"/>
      <c r="D980" s="10" t="n"/>
      <c r="E980" s="10" t="n"/>
      <c r="F980" s="12" t="n"/>
      <c r="G980" s="13" t="n"/>
      <c r="H980" s="13" t="n"/>
      <c r="I980" s="13" t="n"/>
      <c r="J980" s="13" t="n"/>
      <c r="K980" s="13" t="n"/>
      <c r="L980" s="10" t="n"/>
      <c r="M980" s="10" t="n"/>
      <c r="N980" s="14">
        <f>IF(A980="","",WEEKNUM(A980,2))</f>
        <v/>
      </c>
      <c r="O980" s="15">
        <f>IF(OR(A980="",F980=""),"",LOOKUP(F980,Lists!$F$2:$F$5,Lists!$G$2:$G$5))</f>
        <v/>
      </c>
      <c r="P980" s="16">
        <f>IF(A980="","",SUM(H980:K980))</f>
        <v/>
      </c>
      <c r="Q980" s="17">
        <f>IF(A980="","",IFERROR(P980/G980,""))</f>
        <v/>
      </c>
      <c r="R980" s="14">
        <f>IF(OR(A980="",G980=""),"",COUNTIFS($N$2:$N$1000,"&gt;0",$G$2:$G$1000,"&gt;"&amp;G980)+COUNTIFS($N$2:N980,"&gt;0",$G$2:G980,G980))</f>
        <v/>
      </c>
    </row>
    <row r="981">
      <c r="A981" s="9" t="n"/>
      <c r="B981" s="10" t="n"/>
      <c r="C981" s="10" t="n"/>
      <c r="D981" s="10" t="n"/>
      <c r="E981" s="10" t="n"/>
      <c r="F981" s="12" t="n"/>
      <c r="G981" s="13" t="n"/>
      <c r="H981" s="13" t="n"/>
      <c r="I981" s="13" t="n"/>
      <c r="J981" s="13" t="n"/>
      <c r="K981" s="13" t="n"/>
      <c r="L981" s="10" t="n"/>
      <c r="M981" s="10" t="n"/>
      <c r="N981" s="14">
        <f>IF(A981="","",WEEKNUM(A981,2))</f>
        <v/>
      </c>
      <c r="O981" s="15">
        <f>IF(OR(A981="",F981=""),"",LOOKUP(F981,Lists!$F$2:$F$5,Lists!$G$2:$G$5))</f>
        <v/>
      </c>
      <c r="P981" s="16">
        <f>IF(A981="","",SUM(H981:K981))</f>
        <v/>
      </c>
      <c r="Q981" s="17">
        <f>IF(A981="","",IFERROR(P981/G981,""))</f>
        <v/>
      </c>
      <c r="R981" s="14">
        <f>IF(OR(A981="",G981=""),"",COUNTIFS($N$2:$N$1000,"&gt;0",$G$2:$G$1000,"&gt;"&amp;G981)+COUNTIFS($N$2:N981,"&gt;0",$G$2:G981,G981))</f>
        <v/>
      </c>
    </row>
    <row r="982">
      <c r="A982" s="9" t="n"/>
      <c r="B982" s="10" t="n"/>
      <c r="C982" s="10" t="n"/>
      <c r="D982" s="10" t="n"/>
      <c r="E982" s="10" t="n"/>
      <c r="F982" s="12" t="n"/>
      <c r="G982" s="13" t="n"/>
      <c r="H982" s="13" t="n"/>
      <c r="I982" s="13" t="n"/>
      <c r="J982" s="13" t="n"/>
      <c r="K982" s="13" t="n"/>
      <c r="L982" s="10" t="n"/>
      <c r="M982" s="10" t="n"/>
      <c r="N982" s="14">
        <f>IF(A982="","",WEEKNUM(A982,2))</f>
        <v/>
      </c>
      <c r="O982" s="15">
        <f>IF(OR(A982="",F982=""),"",LOOKUP(F982,Lists!$F$2:$F$5,Lists!$G$2:$G$5))</f>
        <v/>
      </c>
      <c r="P982" s="16">
        <f>IF(A982="","",SUM(H982:K982))</f>
        <v/>
      </c>
      <c r="Q982" s="17">
        <f>IF(A982="","",IFERROR(P982/G982,""))</f>
        <v/>
      </c>
      <c r="R982" s="14">
        <f>IF(OR(A982="",G982=""),"",COUNTIFS($N$2:$N$1000,"&gt;0",$G$2:$G$1000,"&gt;"&amp;G982)+COUNTIFS($N$2:N982,"&gt;0",$G$2:G982,G982))</f>
        <v/>
      </c>
    </row>
    <row r="983">
      <c r="A983" s="9" t="n"/>
      <c r="B983" s="10" t="n"/>
      <c r="C983" s="10" t="n"/>
      <c r="D983" s="10" t="n"/>
      <c r="E983" s="10" t="n"/>
      <c r="F983" s="12" t="n"/>
      <c r="G983" s="13" t="n"/>
      <c r="H983" s="13" t="n"/>
      <c r="I983" s="13" t="n"/>
      <c r="J983" s="13" t="n"/>
      <c r="K983" s="13" t="n"/>
      <c r="L983" s="10" t="n"/>
      <c r="M983" s="10" t="n"/>
      <c r="N983" s="14">
        <f>IF(A983="","",WEEKNUM(A983,2))</f>
        <v/>
      </c>
      <c r="O983" s="15">
        <f>IF(OR(A983="",F983=""),"",LOOKUP(F983,Lists!$F$2:$F$5,Lists!$G$2:$G$5))</f>
        <v/>
      </c>
      <c r="P983" s="16">
        <f>IF(A983="","",SUM(H983:K983))</f>
        <v/>
      </c>
      <c r="Q983" s="17">
        <f>IF(A983="","",IFERROR(P983/G983,""))</f>
        <v/>
      </c>
      <c r="R983" s="14">
        <f>IF(OR(A983="",G983=""),"",COUNTIFS($N$2:$N$1000,"&gt;0",$G$2:$G$1000,"&gt;"&amp;G983)+COUNTIFS($N$2:N983,"&gt;0",$G$2:G983,G983))</f>
        <v/>
      </c>
    </row>
    <row r="984">
      <c r="A984" s="9" t="n"/>
      <c r="B984" s="10" t="n"/>
      <c r="C984" s="10" t="n"/>
      <c r="D984" s="10" t="n"/>
      <c r="E984" s="10" t="n"/>
      <c r="F984" s="12" t="n"/>
      <c r="G984" s="13" t="n"/>
      <c r="H984" s="13" t="n"/>
      <c r="I984" s="13" t="n"/>
      <c r="J984" s="13" t="n"/>
      <c r="K984" s="13" t="n"/>
      <c r="L984" s="10" t="n"/>
      <c r="M984" s="10" t="n"/>
      <c r="N984" s="14">
        <f>IF(A984="","",WEEKNUM(A984,2))</f>
        <v/>
      </c>
      <c r="O984" s="15">
        <f>IF(OR(A984="",F984=""),"",LOOKUP(F984,Lists!$F$2:$F$5,Lists!$G$2:$G$5))</f>
        <v/>
      </c>
      <c r="P984" s="16">
        <f>IF(A984="","",SUM(H984:K984))</f>
        <v/>
      </c>
      <c r="Q984" s="17">
        <f>IF(A984="","",IFERROR(P984/G984,""))</f>
        <v/>
      </c>
      <c r="R984" s="14">
        <f>IF(OR(A984="",G984=""),"",COUNTIFS($N$2:$N$1000,"&gt;0",$G$2:$G$1000,"&gt;"&amp;G984)+COUNTIFS($N$2:N984,"&gt;0",$G$2:G984,G984))</f>
        <v/>
      </c>
    </row>
    <row r="985">
      <c r="A985" s="9" t="n"/>
      <c r="B985" s="10" t="n"/>
      <c r="C985" s="10" t="n"/>
      <c r="D985" s="10" t="n"/>
      <c r="E985" s="10" t="n"/>
      <c r="F985" s="12" t="n"/>
      <c r="G985" s="13" t="n"/>
      <c r="H985" s="13" t="n"/>
      <c r="I985" s="13" t="n"/>
      <c r="J985" s="13" t="n"/>
      <c r="K985" s="13" t="n"/>
      <c r="L985" s="10" t="n"/>
      <c r="M985" s="10" t="n"/>
      <c r="N985" s="14">
        <f>IF(A985="","",WEEKNUM(A985,2))</f>
        <v/>
      </c>
      <c r="O985" s="15">
        <f>IF(OR(A985="",F985=""),"",LOOKUP(F985,Lists!$F$2:$F$5,Lists!$G$2:$G$5))</f>
        <v/>
      </c>
      <c r="P985" s="16">
        <f>IF(A985="","",SUM(H985:K985))</f>
        <v/>
      </c>
      <c r="Q985" s="17">
        <f>IF(A985="","",IFERROR(P985/G985,""))</f>
        <v/>
      </c>
      <c r="R985" s="14">
        <f>IF(OR(A985="",G985=""),"",COUNTIFS($N$2:$N$1000,"&gt;0",$G$2:$G$1000,"&gt;"&amp;G985)+COUNTIFS($N$2:N985,"&gt;0",$G$2:G985,G985))</f>
        <v/>
      </c>
    </row>
    <row r="986">
      <c r="A986" s="9" t="n"/>
      <c r="B986" s="10" t="n"/>
      <c r="C986" s="10" t="n"/>
      <c r="D986" s="10" t="n"/>
      <c r="E986" s="10" t="n"/>
      <c r="F986" s="12" t="n"/>
      <c r="G986" s="13" t="n"/>
      <c r="H986" s="13" t="n"/>
      <c r="I986" s="13" t="n"/>
      <c r="J986" s="13" t="n"/>
      <c r="K986" s="13" t="n"/>
      <c r="L986" s="10" t="n"/>
      <c r="M986" s="10" t="n"/>
      <c r="N986" s="14">
        <f>IF(A986="","",WEEKNUM(A986,2))</f>
        <v/>
      </c>
      <c r="O986" s="15">
        <f>IF(OR(A986="",F986=""),"",LOOKUP(F986,Lists!$F$2:$F$5,Lists!$G$2:$G$5))</f>
        <v/>
      </c>
      <c r="P986" s="16">
        <f>IF(A986="","",SUM(H986:K986))</f>
        <v/>
      </c>
      <c r="Q986" s="17">
        <f>IF(A986="","",IFERROR(P986/G986,""))</f>
        <v/>
      </c>
      <c r="R986" s="14">
        <f>IF(OR(A986="",G986=""),"",COUNTIFS($N$2:$N$1000,"&gt;0",$G$2:$G$1000,"&gt;"&amp;G986)+COUNTIFS($N$2:N986,"&gt;0",$G$2:G986,G986))</f>
        <v/>
      </c>
    </row>
    <row r="987">
      <c r="A987" s="9" t="n"/>
      <c r="B987" s="10" t="n"/>
      <c r="C987" s="10" t="n"/>
      <c r="D987" s="10" t="n"/>
      <c r="E987" s="10" t="n"/>
      <c r="F987" s="12" t="n"/>
      <c r="G987" s="13" t="n"/>
      <c r="H987" s="13" t="n"/>
      <c r="I987" s="13" t="n"/>
      <c r="J987" s="13" t="n"/>
      <c r="K987" s="13" t="n"/>
      <c r="L987" s="10" t="n"/>
      <c r="M987" s="10" t="n"/>
      <c r="N987" s="14">
        <f>IF(A987="","",WEEKNUM(A987,2))</f>
        <v/>
      </c>
      <c r="O987" s="15">
        <f>IF(OR(A987="",F987=""),"",LOOKUP(F987,Lists!$F$2:$F$5,Lists!$G$2:$G$5))</f>
        <v/>
      </c>
      <c r="P987" s="16">
        <f>IF(A987="","",SUM(H987:K987))</f>
        <v/>
      </c>
      <c r="Q987" s="17">
        <f>IF(A987="","",IFERROR(P987/G987,""))</f>
        <v/>
      </c>
      <c r="R987" s="14">
        <f>IF(OR(A987="",G987=""),"",COUNTIFS($N$2:$N$1000,"&gt;0",$G$2:$G$1000,"&gt;"&amp;G987)+COUNTIFS($N$2:N987,"&gt;0",$G$2:G987,G987))</f>
        <v/>
      </c>
    </row>
    <row r="988">
      <c r="A988" s="9" t="n"/>
      <c r="B988" s="10" t="n"/>
      <c r="C988" s="10" t="n"/>
      <c r="D988" s="10" t="n"/>
      <c r="E988" s="10" t="n"/>
      <c r="F988" s="12" t="n"/>
      <c r="G988" s="13" t="n"/>
      <c r="H988" s="13" t="n"/>
      <c r="I988" s="13" t="n"/>
      <c r="J988" s="13" t="n"/>
      <c r="K988" s="13" t="n"/>
      <c r="L988" s="10" t="n"/>
      <c r="M988" s="10" t="n"/>
      <c r="N988" s="14">
        <f>IF(A988="","",WEEKNUM(A988,2))</f>
        <v/>
      </c>
      <c r="O988" s="15">
        <f>IF(OR(A988="",F988=""),"",LOOKUP(F988,Lists!$F$2:$F$5,Lists!$G$2:$G$5))</f>
        <v/>
      </c>
      <c r="P988" s="16">
        <f>IF(A988="","",SUM(H988:K988))</f>
        <v/>
      </c>
      <c r="Q988" s="17">
        <f>IF(A988="","",IFERROR(P988/G988,""))</f>
        <v/>
      </c>
      <c r="R988" s="14">
        <f>IF(OR(A988="",G988=""),"",COUNTIFS($N$2:$N$1000,"&gt;0",$G$2:$G$1000,"&gt;"&amp;G988)+COUNTIFS($N$2:N988,"&gt;0",$G$2:G988,G988))</f>
        <v/>
      </c>
    </row>
    <row r="989">
      <c r="A989" s="9" t="n"/>
      <c r="B989" s="10" t="n"/>
      <c r="C989" s="10" t="n"/>
      <c r="D989" s="10" t="n"/>
      <c r="E989" s="10" t="n"/>
      <c r="F989" s="12" t="n"/>
      <c r="G989" s="13" t="n"/>
      <c r="H989" s="13" t="n"/>
      <c r="I989" s="13" t="n"/>
      <c r="J989" s="13" t="n"/>
      <c r="K989" s="13" t="n"/>
      <c r="L989" s="10" t="n"/>
      <c r="M989" s="10" t="n"/>
      <c r="N989" s="14">
        <f>IF(A989="","",WEEKNUM(A989,2))</f>
        <v/>
      </c>
      <c r="O989" s="15">
        <f>IF(OR(A989="",F989=""),"",LOOKUP(F989,Lists!$F$2:$F$5,Lists!$G$2:$G$5))</f>
        <v/>
      </c>
      <c r="P989" s="16">
        <f>IF(A989="","",SUM(H989:K989))</f>
        <v/>
      </c>
      <c r="Q989" s="17">
        <f>IF(A989="","",IFERROR(P989/G989,""))</f>
        <v/>
      </c>
      <c r="R989" s="14">
        <f>IF(OR(A989="",G989=""),"",COUNTIFS($N$2:$N$1000,"&gt;0",$G$2:$G$1000,"&gt;"&amp;G989)+COUNTIFS($N$2:N989,"&gt;0",$G$2:G989,G989))</f>
        <v/>
      </c>
    </row>
    <row r="990">
      <c r="A990" s="9" t="n"/>
      <c r="B990" s="10" t="n"/>
      <c r="C990" s="10" t="n"/>
      <c r="D990" s="10" t="n"/>
      <c r="E990" s="10" t="n"/>
      <c r="F990" s="12" t="n"/>
      <c r="G990" s="13" t="n"/>
      <c r="H990" s="13" t="n"/>
      <c r="I990" s="13" t="n"/>
      <c r="J990" s="13" t="n"/>
      <c r="K990" s="13" t="n"/>
      <c r="L990" s="10" t="n"/>
      <c r="M990" s="10" t="n"/>
      <c r="N990" s="14">
        <f>IF(A990="","",WEEKNUM(A990,2))</f>
        <v/>
      </c>
      <c r="O990" s="15">
        <f>IF(OR(A990="",F990=""),"",LOOKUP(F990,Lists!$F$2:$F$5,Lists!$G$2:$G$5))</f>
        <v/>
      </c>
      <c r="P990" s="16">
        <f>IF(A990="","",SUM(H990:K990))</f>
        <v/>
      </c>
      <c r="Q990" s="17">
        <f>IF(A990="","",IFERROR(P990/G990,""))</f>
        <v/>
      </c>
      <c r="R990" s="14">
        <f>IF(OR(A990="",G990=""),"",COUNTIFS($N$2:$N$1000,"&gt;0",$G$2:$G$1000,"&gt;"&amp;G990)+COUNTIFS($N$2:N990,"&gt;0",$G$2:G990,G990))</f>
        <v/>
      </c>
    </row>
    <row r="991">
      <c r="A991" s="9" t="n"/>
      <c r="B991" s="10" t="n"/>
      <c r="C991" s="10" t="n"/>
      <c r="D991" s="10" t="n"/>
      <c r="E991" s="10" t="n"/>
      <c r="F991" s="12" t="n"/>
      <c r="G991" s="13" t="n"/>
      <c r="H991" s="13" t="n"/>
      <c r="I991" s="13" t="n"/>
      <c r="J991" s="13" t="n"/>
      <c r="K991" s="13" t="n"/>
      <c r="L991" s="10" t="n"/>
      <c r="M991" s="10" t="n"/>
      <c r="N991" s="14">
        <f>IF(A991="","",WEEKNUM(A991,2))</f>
        <v/>
      </c>
      <c r="O991" s="15">
        <f>IF(OR(A991="",F991=""),"",LOOKUP(F991,Lists!$F$2:$F$5,Lists!$G$2:$G$5))</f>
        <v/>
      </c>
      <c r="P991" s="16">
        <f>IF(A991="","",SUM(H991:K991))</f>
        <v/>
      </c>
      <c r="Q991" s="17">
        <f>IF(A991="","",IFERROR(P991/G991,""))</f>
        <v/>
      </c>
      <c r="R991" s="14">
        <f>IF(OR(A991="",G991=""),"",COUNTIFS($N$2:$N$1000,"&gt;0",$G$2:$G$1000,"&gt;"&amp;G991)+COUNTIFS($N$2:N991,"&gt;0",$G$2:G991,G991))</f>
        <v/>
      </c>
    </row>
    <row r="992">
      <c r="A992" s="9" t="n"/>
      <c r="B992" s="10" t="n"/>
      <c r="C992" s="10" t="n"/>
      <c r="D992" s="10" t="n"/>
      <c r="E992" s="10" t="n"/>
      <c r="F992" s="12" t="n"/>
      <c r="G992" s="13" t="n"/>
      <c r="H992" s="13" t="n"/>
      <c r="I992" s="13" t="n"/>
      <c r="J992" s="13" t="n"/>
      <c r="K992" s="13" t="n"/>
      <c r="L992" s="10" t="n"/>
      <c r="M992" s="10" t="n"/>
      <c r="N992" s="14">
        <f>IF(A992="","",WEEKNUM(A992,2))</f>
        <v/>
      </c>
      <c r="O992" s="15">
        <f>IF(OR(A992="",F992=""),"",LOOKUP(F992,Lists!$F$2:$F$5,Lists!$G$2:$G$5))</f>
        <v/>
      </c>
      <c r="P992" s="16">
        <f>IF(A992="","",SUM(H992:K992))</f>
        <v/>
      </c>
      <c r="Q992" s="17">
        <f>IF(A992="","",IFERROR(P992/G992,""))</f>
        <v/>
      </c>
      <c r="R992" s="14">
        <f>IF(OR(A992="",G992=""),"",COUNTIFS($N$2:$N$1000,"&gt;0",$G$2:$G$1000,"&gt;"&amp;G992)+COUNTIFS($N$2:N992,"&gt;0",$G$2:G992,G992))</f>
        <v/>
      </c>
    </row>
    <row r="993">
      <c r="A993" s="9" t="n"/>
      <c r="B993" s="10" t="n"/>
      <c r="C993" s="10" t="n"/>
      <c r="D993" s="10" t="n"/>
      <c r="E993" s="10" t="n"/>
      <c r="F993" s="12" t="n"/>
      <c r="G993" s="13" t="n"/>
      <c r="H993" s="13" t="n"/>
      <c r="I993" s="13" t="n"/>
      <c r="J993" s="13" t="n"/>
      <c r="K993" s="13" t="n"/>
      <c r="L993" s="10" t="n"/>
      <c r="M993" s="10" t="n"/>
      <c r="N993" s="14">
        <f>IF(A993="","",WEEKNUM(A993,2))</f>
        <v/>
      </c>
      <c r="O993" s="15">
        <f>IF(OR(A993="",F993=""),"",LOOKUP(F993,Lists!$F$2:$F$5,Lists!$G$2:$G$5))</f>
        <v/>
      </c>
      <c r="P993" s="16">
        <f>IF(A993="","",SUM(H993:K993))</f>
        <v/>
      </c>
      <c r="Q993" s="17">
        <f>IF(A993="","",IFERROR(P993/G993,""))</f>
        <v/>
      </c>
      <c r="R993" s="14">
        <f>IF(OR(A993="",G993=""),"",COUNTIFS($N$2:$N$1000,"&gt;0",$G$2:$G$1000,"&gt;"&amp;G993)+COUNTIFS($N$2:N993,"&gt;0",$G$2:G993,G993))</f>
        <v/>
      </c>
    </row>
    <row r="994">
      <c r="A994" s="9" t="n"/>
      <c r="B994" s="10" t="n"/>
      <c r="C994" s="10" t="n"/>
      <c r="D994" s="10" t="n"/>
      <c r="E994" s="10" t="n"/>
      <c r="F994" s="12" t="n"/>
      <c r="G994" s="13" t="n"/>
      <c r="H994" s="13" t="n"/>
      <c r="I994" s="13" t="n"/>
      <c r="J994" s="13" t="n"/>
      <c r="K994" s="13" t="n"/>
      <c r="L994" s="10" t="n"/>
      <c r="M994" s="10" t="n"/>
      <c r="N994" s="14">
        <f>IF(A994="","",WEEKNUM(A994,2))</f>
        <v/>
      </c>
      <c r="O994" s="15">
        <f>IF(OR(A994="",F994=""),"",LOOKUP(F994,Lists!$F$2:$F$5,Lists!$G$2:$G$5))</f>
        <v/>
      </c>
      <c r="P994" s="16">
        <f>IF(A994="","",SUM(H994:K994))</f>
        <v/>
      </c>
      <c r="Q994" s="17">
        <f>IF(A994="","",IFERROR(P994/G994,""))</f>
        <v/>
      </c>
      <c r="R994" s="14">
        <f>IF(OR(A994="",G994=""),"",COUNTIFS($N$2:$N$1000,"&gt;0",$G$2:$G$1000,"&gt;"&amp;G994)+COUNTIFS($N$2:N994,"&gt;0",$G$2:G994,G994))</f>
        <v/>
      </c>
    </row>
    <row r="995">
      <c r="A995" s="9" t="n"/>
      <c r="B995" s="10" t="n"/>
      <c r="C995" s="10" t="n"/>
      <c r="D995" s="10" t="n"/>
      <c r="E995" s="10" t="n"/>
      <c r="F995" s="12" t="n"/>
      <c r="G995" s="13" t="n"/>
      <c r="H995" s="13" t="n"/>
      <c r="I995" s="13" t="n"/>
      <c r="J995" s="13" t="n"/>
      <c r="K995" s="13" t="n"/>
      <c r="L995" s="10" t="n"/>
      <c r="M995" s="10" t="n"/>
      <c r="N995" s="14">
        <f>IF(A995="","",WEEKNUM(A995,2))</f>
        <v/>
      </c>
      <c r="O995" s="15">
        <f>IF(OR(A995="",F995=""),"",LOOKUP(F995,Lists!$F$2:$F$5,Lists!$G$2:$G$5))</f>
        <v/>
      </c>
      <c r="P995" s="16">
        <f>IF(A995="","",SUM(H995:K995))</f>
        <v/>
      </c>
      <c r="Q995" s="17">
        <f>IF(A995="","",IFERROR(P995/G995,""))</f>
        <v/>
      </c>
      <c r="R995" s="14">
        <f>IF(OR(A995="",G995=""),"",COUNTIFS($N$2:$N$1000,"&gt;0",$G$2:$G$1000,"&gt;"&amp;G995)+COUNTIFS($N$2:N995,"&gt;0",$G$2:G995,G995))</f>
        <v/>
      </c>
    </row>
    <row r="996">
      <c r="A996" s="9" t="n"/>
      <c r="B996" s="10" t="n"/>
      <c r="C996" s="10" t="n"/>
      <c r="D996" s="10" t="n"/>
      <c r="E996" s="10" t="n"/>
      <c r="F996" s="12" t="n"/>
      <c r="G996" s="13" t="n"/>
      <c r="H996" s="13" t="n"/>
      <c r="I996" s="13" t="n"/>
      <c r="J996" s="13" t="n"/>
      <c r="K996" s="13" t="n"/>
      <c r="L996" s="10" t="n"/>
      <c r="M996" s="10" t="n"/>
      <c r="N996" s="14">
        <f>IF(A996="","",WEEKNUM(A996,2))</f>
        <v/>
      </c>
      <c r="O996" s="15">
        <f>IF(OR(A996="",F996=""),"",LOOKUP(F996,Lists!$F$2:$F$5,Lists!$G$2:$G$5))</f>
        <v/>
      </c>
      <c r="P996" s="16">
        <f>IF(A996="","",SUM(H996:K996))</f>
        <v/>
      </c>
      <c r="Q996" s="17">
        <f>IF(A996="","",IFERROR(P996/G996,""))</f>
        <v/>
      </c>
      <c r="R996" s="14">
        <f>IF(OR(A996="",G996=""),"",COUNTIFS($N$2:$N$1000,"&gt;0",$G$2:$G$1000,"&gt;"&amp;G996)+COUNTIFS($N$2:N996,"&gt;0",$G$2:G996,G996))</f>
        <v/>
      </c>
    </row>
    <row r="997">
      <c r="A997" s="9" t="n"/>
      <c r="B997" s="10" t="n"/>
      <c r="C997" s="10" t="n"/>
      <c r="D997" s="10" t="n"/>
      <c r="E997" s="10" t="n"/>
      <c r="F997" s="12" t="n"/>
      <c r="G997" s="13" t="n"/>
      <c r="H997" s="13" t="n"/>
      <c r="I997" s="13" t="n"/>
      <c r="J997" s="13" t="n"/>
      <c r="K997" s="13" t="n"/>
      <c r="L997" s="10" t="n"/>
      <c r="M997" s="10" t="n"/>
      <c r="N997" s="14">
        <f>IF(A997="","",WEEKNUM(A997,2))</f>
        <v/>
      </c>
      <c r="O997" s="15">
        <f>IF(OR(A997="",F997=""),"",LOOKUP(F997,Lists!$F$2:$F$5,Lists!$G$2:$G$5))</f>
        <v/>
      </c>
      <c r="P997" s="16">
        <f>IF(A997="","",SUM(H997:K997))</f>
        <v/>
      </c>
      <c r="Q997" s="17">
        <f>IF(A997="","",IFERROR(P997/G997,""))</f>
        <v/>
      </c>
      <c r="R997" s="14">
        <f>IF(OR(A997="",G997=""),"",COUNTIFS($N$2:$N$1000,"&gt;0",$G$2:$G$1000,"&gt;"&amp;G997)+COUNTIFS($N$2:N997,"&gt;0",$G$2:G997,G997))</f>
        <v/>
      </c>
    </row>
    <row r="998">
      <c r="A998" s="9" t="n"/>
      <c r="B998" s="10" t="n"/>
      <c r="C998" s="10" t="n"/>
      <c r="D998" s="10" t="n"/>
      <c r="E998" s="10" t="n"/>
      <c r="F998" s="12" t="n"/>
      <c r="G998" s="13" t="n"/>
      <c r="H998" s="13" t="n"/>
      <c r="I998" s="13" t="n"/>
      <c r="J998" s="13" t="n"/>
      <c r="K998" s="13" t="n"/>
      <c r="L998" s="10" t="n"/>
      <c r="M998" s="10" t="n"/>
      <c r="N998" s="14">
        <f>IF(A998="","",WEEKNUM(A998,2))</f>
        <v/>
      </c>
      <c r="O998" s="15">
        <f>IF(OR(A998="",F998=""),"",LOOKUP(F998,Lists!$F$2:$F$5,Lists!$G$2:$G$5))</f>
        <v/>
      </c>
      <c r="P998" s="16">
        <f>IF(A998="","",SUM(H998:K998))</f>
        <v/>
      </c>
      <c r="Q998" s="17">
        <f>IF(A998="","",IFERROR(P998/G998,""))</f>
        <v/>
      </c>
      <c r="R998" s="14">
        <f>IF(OR(A998="",G998=""),"",COUNTIFS($N$2:$N$1000,"&gt;0",$G$2:$G$1000,"&gt;"&amp;G998)+COUNTIFS($N$2:N998,"&gt;0",$G$2:G998,G998))</f>
        <v/>
      </c>
    </row>
    <row r="999">
      <c r="A999" s="9" t="n"/>
      <c r="B999" s="10" t="n"/>
      <c r="C999" s="10" t="n"/>
      <c r="D999" s="10" t="n"/>
      <c r="E999" s="10" t="n"/>
      <c r="F999" s="12" t="n"/>
      <c r="G999" s="13" t="n"/>
      <c r="H999" s="13" t="n"/>
      <c r="I999" s="13" t="n"/>
      <c r="J999" s="13" t="n"/>
      <c r="K999" s="13" t="n"/>
      <c r="L999" s="10" t="n"/>
      <c r="M999" s="10" t="n"/>
      <c r="N999" s="14">
        <f>IF(A999="","",WEEKNUM(A999,2))</f>
        <v/>
      </c>
      <c r="O999" s="15">
        <f>IF(OR(A999="",F999=""),"",LOOKUP(F999,Lists!$F$2:$F$5,Lists!$G$2:$G$5))</f>
        <v/>
      </c>
      <c r="P999" s="16">
        <f>IF(A999="","",SUM(H999:K999))</f>
        <v/>
      </c>
      <c r="Q999" s="17">
        <f>IF(A999="","",IFERROR(P999/G999,""))</f>
        <v/>
      </c>
      <c r="R999" s="14">
        <f>IF(OR(A999="",G999=""),"",COUNTIFS($N$2:$N$1000,"&gt;0",$G$2:$G$1000,"&gt;"&amp;G999)+COUNTIFS($N$2:N999,"&gt;0",$G$2:G999,G999))</f>
        <v/>
      </c>
    </row>
    <row r="1000">
      <c r="A1000" s="9" t="n"/>
      <c r="B1000" s="10" t="n"/>
      <c r="C1000" s="10" t="n"/>
      <c r="D1000" s="10" t="n"/>
      <c r="E1000" s="10" t="n"/>
      <c r="F1000" s="12" t="n"/>
      <c r="G1000" s="13" t="n"/>
      <c r="H1000" s="13" t="n"/>
      <c r="I1000" s="13" t="n"/>
      <c r="J1000" s="13" t="n"/>
      <c r="K1000" s="13" t="n"/>
      <c r="L1000" s="10" t="n"/>
      <c r="M1000" s="10" t="n"/>
      <c r="N1000" s="14">
        <f>IF(A1000="","",WEEKNUM(A1000,2))</f>
        <v/>
      </c>
      <c r="O1000" s="15">
        <f>IF(OR(A1000="",F1000=""),"",LOOKUP(F1000,Lists!$F$2:$F$5,Lists!$G$2:$G$5))</f>
        <v/>
      </c>
      <c r="P1000" s="16">
        <f>IF(A1000="","",SUM(H1000:K1000))</f>
        <v/>
      </c>
      <c r="Q1000" s="17">
        <f>IF(A1000="","",IFERROR(P1000/G1000,""))</f>
        <v/>
      </c>
      <c r="R1000" s="14">
        <f>IF(OR(A1000="",G1000=""),"",COUNTIFS($N$2:$N$1000,"&gt;0",$G$2:$G$1000,"&gt;"&amp;G1000)+COUNTIFS($N$2:N1000,"&gt;0",$G$2:G1000,G1000))</f>
        <v/>
      </c>
    </row>
  </sheetData>
  <autoFilter ref="A1:R1000"/>
  <dataValidations count="5">
    <dataValidation sqref="A2:A1000" showDropDown="0" showInputMessage="0" showErrorMessage="1" allowBlank="1" errorTitle="Type a date" error="Type a date, like 2026-09-27." type="date" operator="greaterThan">
      <formula1>36526</formula1>
    </dataValidation>
    <dataValidation sqref="B2:B1000" showDropDown="0" showInputMessage="0" showErrorMessage="1" allowBlank="1" errorTitle="Pick from the list" error="Pick a platform from the list. To change the choices, rename one on the Lists sheet." type="list">
      <formula1>Lists!$A$2:$A$4</formula1>
    </dataValidation>
    <dataValidation sqref="D2:D1000" showDropDown="0" showInputMessage="0" showErrorMessage="1" allowBlank="1" errorTitle="Pick from the list" error="Pick a song section from the list. To change the choices, rename one on the Lists sheet." type="list">
      <formula1>Lists!$B$2:$B$8</formula1>
    </dataValidation>
    <dataValidation sqref="F2:K1000" showDropDown="0" showInputMessage="0" showErrorMessage="1" allowBlank="1" errorTitle="Type a number" error="Type a number, 0 or more (no text, no 'k')." type="decimal" operator="greaterThanOrEqual">
      <formula1>0</formula1>
    </dataValidation>
    <dataValidation sqref="L2:L1000" showDropDown="0" showInputMessage="0" showErrorMessage="1" allowBlank="1" errorTitle="Pick from the list" error="Pick Yes or No." type="list">
      <formula1>Lists!$C$2:$C$3</formula1>
    </dataValidation>
  </dataValidations>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9"/>
  <sheetViews>
    <sheetView showGridLines="0" workbookViewId="0">
      <selection activeCell="A1" sqref="A1"/>
    </sheetView>
  </sheetViews>
  <sheetFormatPr baseColWidth="8" defaultRowHeight="15"/>
  <cols>
    <col width="4" customWidth="1" min="1" max="1"/>
    <col width="34" customWidth="1" min="2" max="2"/>
    <col width="12" customWidth="1" min="3" max="3"/>
    <col width="12" customWidth="1" min="4" max="4"/>
    <col width="12" customWidth="1" min="5" max="5"/>
    <col width="12" customWidth="1" min="6" max="6"/>
    <col width="12" customWidth="1" min="7" max="7"/>
    <col width="3" customWidth="1" min="8" max="8"/>
  </cols>
  <sheetData>
    <row r="1">
      <c r="B1" s="1" t="inlineStr">
        <is>
          <t>Marketing review</t>
        </is>
      </c>
    </row>
    <row r="2">
      <c r="B2" s="18" t="inlineStr">
        <is>
          <t>Worked out from the Posts sheet as you log. Nothing to type on this page.</t>
        </is>
      </c>
    </row>
    <row r="4">
      <c r="B4" s="3" t="inlineStr">
        <is>
          <t>At a glance</t>
        </is>
      </c>
    </row>
    <row r="5">
      <c r="B5" s="19" t="inlineStr">
        <is>
          <t>Posts logged</t>
        </is>
      </c>
      <c r="C5" s="20">
        <f>COUNTIFS(Posts!$N$2:$N$1000,"&gt;0")</f>
        <v/>
      </c>
    </row>
    <row r="6">
      <c r="B6" s="19" t="inlineStr">
        <is>
          <t>Total views</t>
        </is>
      </c>
      <c r="C6" s="20">
        <f>SUMIFS(Posts!$G$2:$G$1000,Posts!$N$2:$N$1000,"&gt;0")</f>
        <v/>
      </c>
    </row>
    <row r="7">
      <c r="B7" s="19" t="inlineStr">
        <is>
          <t>Average views per post</t>
        </is>
      </c>
      <c r="C7" s="20">
        <f>IFERROR(AVERAGEIFS(Posts!$G$2:$G$1000,Posts!$N$2:$N$1000,"&gt;0"),"")</f>
        <v/>
      </c>
    </row>
    <row r="8">
      <c r="B8" s="19" t="inlineStr">
        <is>
          <t>Engagement rate</t>
        </is>
      </c>
      <c r="C8" s="21">
        <f>IFERROR(SUMIFS(Posts!$P$2:$P$1000,Posts!$N$2:$N$1000,"&gt;0",Posts!$G$2:$G$1000,"&gt;0")/SUMIFS(Posts!$G$2:$G$1000,Posts!$N$2:$N$1000,"&gt;0"),"")</f>
        <v/>
      </c>
    </row>
    <row r="9">
      <c r="B9" s="19" t="inlineStr">
        <is>
          <t>Best platform (average views)</t>
        </is>
      </c>
      <c r="C9" s="22">
        <f>IFERROR(INDEX($B$15:$B$17,MATCH(MAX($E$15:$E$17),$E$15:$E$17,0)),"")</f>
        <v/>
      </c>
    </row>
    <row r="10">
      <c r="B10" s="19" t="inlineStr">
        <is>
          <t>Best length (average views)</t>
        </is>
      </c>
      <c r="C10" s="22">
        <f>IFERROR(INDEX($B$31:$B$34,MATCH(MAX($D$31:$D$34),$D$31:$D$34,0)),"")</f>
        <v/>
      </c>
    </row>
    <row r="11">
      <c r="B11" s="19" t="inlineStr">
        <is>
          <t>Best song section (average views)</t>
        </is>
      </c>
      <c r="C11" s="22">
        <f>IFERROR(INDEX($B$83:$B$89,MATCH(MAX($E$83:$E$89),$E$83:$E$89,0)),"")</f>
        <v/>
      </c>
    </row>
    <row r="13">
      <c r="B13" s="3" t="inlineStr">
        <is>
          <t>Views by platform</t>
        </is>
      </c>
    </row>
    <row r="14" ht="26" customHeight="1">
      <c r="B14" s="23" t="inlineStr">
        <is>
          <t>Platform</t>
        </is>
      </c>
      <c r="C14" s="24" t="inlineStr">
        <is>
          <t>Posts</t>
        </is>
      </c>
      <c r="D14" s="24" t="inlineStr">
        <is>
          <t>Views</t>
        </is>
      </c>
      <c r="E14" s="24" t="inlineStr">
        <is>
          <t>Avg views</t>
        </is>
      </c>
      <c r="F14" s="24" t="inlineStr">
        <is>
          <t>Engagement rate</t>
        </is>
      </c>
      <c r="G14" s="24" t="inlineStr">
        <is>
          <t>Share of views</t>
        </is>
      </c>
    </row>
    <row r="15">
      <c r="B15" s="10">
        <f>Lists!$A$2</f>
        <v/>
      </c>
      <c r="C15" s="13">
        <f>COUNTIFS(Posts!$N$2:$N$1000,"&gt;0",Posts!$B$2:$B$1000,$B15)</f>
        <v/>
      </c>
      <c r="D15" s="13">
        <f>SUMIFS(Posts!$G$2:$G$1000,Posts!$N$2:$N$1000,"&gt;0",Posts!$B$2:$B$1000,$B15)</f>
        <v/>
      </c>
      <c r="E15" s="13">
        <f>IFERROR(AVERAGEIFS(Posts!$G$2:$G$1000,Posts!$N$2:$N$1000,"&gt;0",Posts!$B$2:$B$1000,$B15),"")</f>
        <v/>
      </c>
      <c r="F15" s="25">
        <f>IFERROR(SUMIFS(Posts!$P$2:$P$1000,Posts!$N$2:$N$1000,"&gt;0",Posts!$B$2:$B$1000,$B15,Posts!$G$2:$G$1000,"&gt;0")/D15,"")</f>
        <v/>
      </c>
      <c r="G15" s="25">
        <f>IFERROR(D15/$D$19,"")</f>
        <v/>
      </c>
    </row>
    <row r="16">
      <c r="B16" s="10">
        <f>Lists!$A$3</f>
        <v/>
      </c>
      <c r="C16" s="13">
        <f>COUNTIFS(Posts!$N$2:$N$1000,"&gt;0",Posts!$B$2:$B$1000,$B16)</f>
        <v/>
      </c>
      <c r="D16" s="13">
        <f>SUMIFS(Posts!$G$2:$G$1000,Posts!$N$2:$N$1000,"&gt;0",Posts!$B$2:$B$1000,$B16)</f>
        <v/>
      </c>
      <c r="E16" s="13">
        <f>IFERROR(AVERAGEIFS(Posts!$G$2:$G$1000,Posts!$N$2:$N$1000,"&gt;0",Posts!$B$2:$B$1000,$B16),"")</f>
        <v/>
      </c>
      <c r="F16" s="25">
        <f>IFERROR(SUMIFS(Posts!$P$2:$P$1000,Posts!$N$2:$N$1000,"&gt;0",Posts!$B$2:$B$1000,$B16,Posts!$G$2:$G$1000,"&gt;0")/D16,"")</f>
        <v/>
      </c>
      <c r="G16" s="25">
        <f>IFERROR(D16/$D$19,"")</f>
        <v/>
      </c>
    </row>
    <row r="17">
      <c r="B17" s="10">
        <f>Lists!$A$4</f>
        <v/>
      </c>
      <c r="C17" s="13">
        <f>COUNTIFS(Posts!$N$2:$N$1000,"&gt;0",Posts!$B$2:$B$1000,$B17)</f>
        <v/>
      </c>
      <c r="D17" s="13">
        <f>SUMIFS(Posts!$G$2:$G$1000,Posts!$N$2:$N$1000,"&gt;0",Posts!$B$2:$B$1000,$B17)</f>
        <v/>
      </c>
      <c r="E17" s="13">
        <f>IFERROR(AVERAGEIFS(Posts!$G$2:$G$1000,Posts!$N$2:$N$1000,"&gt;0",Posts!$B$2:$B$1000,$B17),"")</f>
        <v/>
      </c>
      <c r="F17" s="25">
        <f>IFERROR(SUMIFS(Posts!$P$2:$P$1000,Posts!$N$2:$N$1000,"&gt;0",Posts!$B$2:$B$1000,$B17,Posts!$G$2:$G$1000,"&gt;0")/D17,"")</f>
        <v/>
      </c>
      <c r="G17" s="25">
        <f>IFERROR(D17/$D$19,"")</f>
        <v/>
      </c>
    </row>
    <row r="18">
      <c r="B18" s="18">
        <f>IF(C18="","","Other or no platform")</f>
        <v/>
      </c>
      <c r="C18" s="26">
        <f>IF(COUNTIFS(Posts!$N$2:$N$1000,"&gt;0")=SUM(C15:C17),"",COUNTIFS(Posts!$N$2:$N$1000,"&gt;0")-SUM(C15:C17))</f>
        <v/>
      </c>
      <c r="D18" s="26">
        <f>IF(C18="","",SUMIFS(Posts!$G$2:$G$1000,Posts!$N$2:$N$1000,"&gt;0")-SUM(D15:D17))</f>
        <v/>
      </c>
      <c r="G18" s="27">
        <f>IF(C18="","",IFERROR(D18/$D$19,""))</f>
        <v/>
      </c>
    </row>
    <row r="19">
      <c r="B19" s="28" t="inlineStr">
        <is>
          <t>All platforms</t>
        </is>
      </c>
      <c r="C19" s="29">
        <f>SUM(C15:C18)</f>
        <v/>
      </c>
      <c r="D19" s="29">
        <f>SUM(D15:D18)</f>
        <v/>
      </c>
      <c r="E19" s="29">
        <f>IFERROR(AVERAGEIFS(Posts!$G$2:$G$1000,Posts!$N$2:$N$1000,"&gt;0"),"")</f>
        <v/>
      </c>
      <c r="F19" s="30">
        <f>C8</f>
        <v/>
      </c>
      <c r="G19" s="30">
        <f>IFERROR(D19/$D$19,"")</f>
        <v/>
      </c>
    </row>
    <row r="28">
      <c r="B28" s="3" t="inlineStr">
        <is>
          <t>Average views by length</t>
        </is>
      </c>
    </row>
    <row r="29">
      <c r="B29" s="31" t="inlineStr">
        <is>
          <t>A clip of exactly 15 s counts as 15–25 s. The cut-offs live on the Lists sheet.</t>
        </is>
      </c>
    </row>
    <row r="30" ht="26" customHeight="1">
      <c r="B30" s="23" t="inlineStr">
        <is>
          <t>Length</t>
        </is>
      </c>
      <c r="C30" s="24" t="inlineStr">
        <is>
          <t>Posts</t>
        </is>
      </c>
      <c r="D30" s="24" t="inlineStr">
        <is>
          <t>Avg views</t>
        </is>
      </c>
      <c r="E30" s="24" t="inlineStr">
        <is>
          <t>Engagement rate</t>
        </is>
      </c>
    </row>
    <row r="31">
      <c r="B31" s="10">
        <f>Lists!$G$2</f>
        <v/>
      </c>
      <c r="C31" s="13">
        <f>COUNTIFS(Posts!$N$2:$N$1000,"&gt;0",Posts!$O$2:$O$1000,$B31)</f>
        <v/>
      </c>
      <c r="D31" s="13">
        <f>IFERROR(AVERAGEIFS(Posts!$G$2:$G$1000,Posts!$N$2:$N$1000,"&gt;0",Posts!$O$2:$O$1000,$B31),"")</f>
        <v/>
      </c>
      <c r="E31" s="25">
        <f>IFERROR(SUMIFS(Posts!$P$2:$P$1000,Posts!$N$2:$N$1000,"&gt;0",Posts!$O$2:$O$1000,$B31,Posts!$G$2:$G$1000,"&gt;0")/SUMIFS(Posts!$G$2:$G$1000,Posts!$N$2:$N$1000,"&gt;0",Posts!$O$2:$O$1000,$B31),"")</f>
        <v/>
      </c>
    </row>
    <row r="32">
      <c r="B32" s="10">
        <f>Lists!$G$3</f>
        <v/>
      </c>
      <c r="C32" s="13">
        <f>COUNTIFS(Posts!$N$2:$N$1000,"&gt;0",Posts!$O$2:$O$1000,$B32)</f>
        <v/>
      </c>
      <c r="D32" s="13">
        <f>IFERROR(AVERAGEIFS(Posts!$G$2:$G$1000,Posts!$N$2:$N$1000,"&gt;0",Posts!$O$2:$O$1000,$B32),"")</f>
        <v/>
      </c>
      <c r="E32" s="25">
        <f>IFERROR(SUMIFS(Posts!$P$2:$P$1000,Posts!$N$2:$N$1000,"&gt;0",Posts!$O$2:$O$1000,$B32,Posts!$G$2:$G$1000,"&gt;0")/SUMIFS(Posts!$G$2:$G$1000,Posts!$N$2:$N$1000,"&gt;0",Posts!$O$2:$O$1000,$B32),"")</f>
        <v/>
      </c>
    </row>
    <row r="33">
      <c r="B33" s="10">
        <f>Lists!$G$4</f>
        <v/>
      </c>
      <c r="C33" s="13">
        <f>COUNTIFS(Posts!$N$2:$N$1000,"&gt;0",Posts!$O$2:$O$1000,$B33)</f>
        <v/>
      </c>
      <c r="D33" s="13">
        <f>IFERROR(AVERAGEIFS(Posts!$G$2:$G$1000,Posts!$N$2:$N$1000,"&gt;0",Posts!$O$2:$O$1000,$B33),"")</f>
        <v/>
      </c>
      <c r="E33" s="25">
        <f>IFERROR(SUMIFS(Posts!$P$2:$P$1000,Posts!$N$2:$N$1000,"&gt;0",Posts!$O$2:$O$1000,$B33,Posts!$G$2:$G$1000,"&gt;0")/SUMIFS(Posts!$G$2:$G$1000,Posts!$N$2:$N$1000,"&gt;0",Posts!$O$2:$O$1000,$B33),"")</f>
        <v/>
      </c>
    </row>
    <row r="34">
      <c r="B34" s="10">
        <f>Lists!$G$5</f>
        <v/>
      </c>
      <c r="C34" s="13">
        <f>COUNTIFS(Posts!$N$2:$N$1000,"&gt;0",Posts!$O$2:$O$1000,$B34)</f>
        <v/>
      </c>
      <c r="D34" s="13">
        <f>IFERROR(AVERAGEIFS(Posts!$G$2:$G$1000,Posts!$N$2:$N$1000,"&gt;0",Posts!$O$2:$O$1000,$B34),"")</f>
        <v/>
      </c>
      <c r="E34" s="25">
        <f>IFERROR(SUMIFS(Posts!$P$2:$P$1000,Posts!$N$2:$N$1000,"&gt;0",Posts!$O$2:$O$1000,$B34,Posts!$G$2:$G$1000,"&gt;0")/SUMIFS(Posts!$G$2:$G$1000,Posts!$N$2:$N$1000,"&gt;0",Posts!$O$2:$O$1000,$B34),"")</f>
        <v/>
      </c>
    </row>
    <row r="43">
      <c r="B43" s="3" t="inlineStr">
        <is>
          <t>Top 10 clips</t>
        </is>
      </c>
    </row>
    <row r="44">
      <c r="B44" s="31" t="inlineStr">
        <is>
          <t>Most views first. Ties go to the post logged first.</t>
        </is>
      </c>
    </row>
    <row r="45" ht="26" customHeight="1">
      <c r="A45" s="23" t="inlineStr">
        <is>
          <t>#</t>
        </is>
      </c>
      <c r="B45" s="24" t="inlineStr">
        <is>
          <t>Clip</t>
        </is>
      </c>
      <c r="C45" s="24" t="inlineStr">
        <is>
          <t>Platform</t>
        </is>
      </c>
      <c r="D45" s="24" t="inlineStr">
        <is>
          <t>Section</t>
        </is>
      </c>
      <c r="E45" s="24" t="inlineStr">
        <is>
          <t>Length (s)</t>
        </is>
      </c>
      <c r="F45" s="24" t="inlineStr">
        <is>
          <t>Views</t>
        </is>
      </c>
      <c r="G45" s="32" t="inlineStr">
        <is>
          <t>Link</t>
        </is>
      </c>
    </row>
    <row r="46">
      <c r="A46" s="19" t="n">
        <v>1</v>
      </c>
      <c r="B46" s="33">
        <f>IFERROR(INDEX(Posts!$C$2:$C$1000,MATCH($A46,Posts!$R$2:$R$1000,0))&amp;"","")</f>
        <v/>
      </c>
      <c r="C46" s="34">
        <f>IFERROR(INDEX(Posts!$B$2:$B$1000,MATCH($A46,Posts!$R$2:$R$1000,0))&amp;"","")</f>
        <v/>
      </c>
      <c r="D46" s="34">
        <f>IFERROR(INDEX(Posts!$D$2:$D$1000,MATCH($A46,Posts!$R$2:$R$1000,0))&amp;"","")</f>
        <v/>
      </c>
      <c r="E46" s="35">
        <f>IFERROR(IF(INDEX(Posts!$F$2:$F$1000,MATCH($A46,Posts!$R$2:$R$1000,0))="","",INDEX(Posts!$F$2:$F$1000,MATCH($A46,Posts!$R$2:$R$1000,0))),"")</f>
        <v/>
      </c>
      <c r="F46" s="36">
        <f>IFERROR(INDEX(Posts!$G$2:$G$1000,MATCH($A46,Posts!$R$2:$R$1000,0)),"")</f>
        <v/>
      </c>
      <c r="G46" s="37">
        <f>IFERROR(IF(INDEX(Posts!$E$2:$E$1000,MATCH($A46,Posts!$R$2:$R$1000,0))="","",HYPERLINK(INDEX(Posts!$E$2:$E$1000,MATCH($A46,Posts!$R$2:$R$1000,0)))),"")</f>
        <v/>
      </c>
    </row>
    <row r="47">
      <c r="A47" s="19" t="n">
        <v>2</v>
      </c>
      <c r="B47" s="33">
        <f>IFERROR(INDEX(Posts!$C$2:$C$1000,MATCH($A47,Posts!$R$2:$R$1000,0))&amp;"","")</f>
        <v/>
      </c>
      <c r="C47" s="34">
        <f>IFERROR(INDEX(Posts!$B$2:$B$1000,MATCH($A47,Posts!$R$2:$R$1000,0))&amp;"","")</f>
        <v/>
      </c>
      <c r="D47" s="34">
        <f>IFERROR(INDEX(Posts!$D$2:$D$1000,MATCH($A47,Posts!$R$2:$R$1000,0))&amp;"","")</f>
        <v/>
      </c>
      <c r="E47" s="35">
        <f>IFERROR(IF(INDEX(Posts!$F$2:$F$1000,MATCH($A47,Posts!$R$2:$R$1000,0))="","",INDEX(Posts!$F$2:$F$1000,MATCH($A47,Posts!$R$2:$R$1000,0))),"")</f>
        <v/>
      </c>
      <c r="F47" s="36">
        <f>IFERROR(INDEX(Posts!$G$2:$G$1000,MATCH($A47,Posts!$R$2:$R$1000,0)),"")</f>
        <v/>
      </c>
      <c r="G47" s="37">
        <f>IFERROR(IF(INDEX(Posts!$E$2:$E$1000,MATCH($A47,Posts!$R$2:$R$1000,0))="","",HYPERLINK(INDEX(Posts!$E$2:$E$1000,MATCH($A47,Posts!$R$2:$R$1000,0)))),"")</f>
        <v/>
      </c>
    </row>
    <row r="48">
      <c r="A48" s="19" t="n">
        <v>3</v>
      </c>
      <c r="B48" s="33">
        <f>IFERROR(INDEX(Posts!$C$2:$C$1000,MATCH($A48,Posts!$R$2:$R$1000,0))&amp;"","")</f>
        <v/>
      </c>
      <c r="C48" s="34">
        <f>IFERROR(INDEX(Posts!$B$2:$B$1000,MATCH($A48,Posts!$R$2:$R$1000,0))&amp;"","")</f>
        <v/>
      </c>
      <c r="D48" s="34">
        <f>IFERROR(INDEX(Posts!$D$2:$D$1000,MATCH($A48,Posts!$R$2:$R$1000,0))&amp;"","")</f>
        <v/>
      </c>
      <c r="E48" s="35">
        <f>IFERROR(IF(INDEX(Posts!$F$2:$F$1000,MATCH($A48,Posts!$R$2:$R$1000,0))="","",INDEX(Posts!$F$2:$F$1000,MATCH($A48,Posts!$R$2:$R$1000,0))),"")</f>
        <v/>
      </c>
      <c r="F48" s="36">
        <f>IFERROR(INDEX(Posts!$G$2:$G$1000,MATCH($A48,Posts!$R$2:$R$1000,0)),"")</f>
        <v/>
      </c>
      <c r="G48" s="37">
        <f>IFERROR(IF(INDEX(Posts!$E$2:$E$1000,MATCH($A48,Posts!$R$2:$R$1000,0))="","",HYPERLINK(INDEX(Posts!$E$2:$E$1000,MATCH($A48,Posts!$R$2:$R$1000,0)))),"")</f>
        <v/>
      </c>
    </row>
    <row r="49">
      <c r="A49" s="19" t="n">
        <v>4</v>
      </c>
      <c r="B49" s="33">
        <f>IFERROR(INDEX(Posts!$C$2:$C$1000,MATCH($A49,Posts!$R$2:$R$1000,0))&amp;"","")</f>
        <v/>
      </c>
      <c r="C49" s="34">
        <f>IFERROR(INDEX(Posts!$B$2:$B$1000,MATCH($A49,Posts!$R$2:$R$1000,0))&amp;"","")</f>
        <v/>
      </c>
      <c r="D49" s="34">
        <f>IFERROR(INDEX(Posts!$D$2:$D$1000,MATCH($A49,Posts!$R$2:$R$1000,0))&amp;"","")</f>
        <v/>
      </c>
      <c r="E49" s="35">
        <f>IFERROR(IF(INDEX(Posts!$F$2:$F$1000,MATCH($A49,Posts!$R$2:$R$1000,0))="","",INDEX(Posts!$F$2:$F$1000,MATCH($A49,Posts!$R$2:$R$1000,0))),"")</f>
        <v/>
      </c>
      <c r="F49" s="36">
        <f>IFERROR(INDEX(Posts!$G$2:$G$1000,MATCH($A49,Posts!$R$2:$R$1000,0)),"")</f>
        <v/>
      </c>
      <c r="G49" s="37">
        <f>IFERROR(IF(INDEX(Posts!$E$2:$E$1000,MATCH($A49,Posts!$R$2:$R$1000,0))="","",HYPERLINK(INDEX(Posts!$E$2:$E$1000,MATCH($A49,Posts!$R$2:$R$1000,0)))),"")</f>
        <v/>
      </c>
    </row>
    <row r="50">
      <c r="A50" s="19" t="n">
        <v>5</v>
      </c>
      <c r="B50" s="33">
        <f>IFERROR(INDEX(Posts!$C$2:$C$1000,MATCH($A50,Posts!$R$2:$R$1000,0))&amp;"","")</f>
        <v/>
      </c>
      <c r="C50" s="34">
        <f>IFERROR(INDEX(Posts!$B$2:$B$1000,MATCH($A50,Posts!$R$2:$R$1000,0))&amp;"","")</f>
        <v/>
      </c>
      <c r="D50" s="34">
        <f>IFERROR(INDEX(Posts!$D$2:$D$1000,MATCH($A50,Posts!$R$2:$R$1000,0))&amp;"","")</f>
        <v/>
      </c>
      <c r="E50" s="35">
        <f>IFERROR(IF(INDEX(Posts!$F$2:$F$1000,MATCH($A50,Posts!$R$2:$R$1000,0))="","",INDEX(Posts!$F$2:$F$1000,MATCH($A50,Posts!$R$2:$R$1000,0))),"")</f>
        <v/>
      </c>
      <c r="F50" s="36">
        <f>IFERROR(INDEX(Posts!$G$2:$G$1000,MATCH($A50,Posts!$R$2:$R$1000,0)),"")</f>
        <v/>
      </c>
      <c r="G50" s="37">
        <f>IFERROR(IF(INDEX(Posts!$E$2:$E$1000,MATCH($A50,Posts!$R$2:$R$1000,0))="","",HYPERLINK(INDEX(Posts!$E$2:$E$1000,MATCH($A50,Posts!$R$2:$R$1000,0)))),"")</f>
        <v/>
      </c>
    </row>
    <row r="51">
      <c r="A51" s="19" t="n">
        <v>6</v>
      </c>
      <c r="B51" s="33">
        <f>IFERROR(INDEX(Posts!$C$2:$C$1000,MATCH($A51,Posts!$R$2:$R$1000,0))&amp;"","")</f>
        <v/>
      </c>
      <c r="C51" s="34">
        <f>IFERROR(INDEX(Posts!$B$2:$B$1000,MATCH($A51,Posts!$R$2:$R$1000,0))&amp;"","")</f>
        <v/>
      </c>
      <c r="D51" s="34">
        <f>IFERROR(INDEX(Posts!$D$2:$D$1000,MATCH($A51,Posts!$R$2:$R$1000,0))&amp;"","")</f>
        <v/>
      </c>
      <c r="E51" s="35">
        <f>IFERROR(IF(INDEX(Posts!$F$2:$F$1000,MATCH($A51,Posts!$R$2:$R$1000,0))="","",INDEX(Posts!$F$2:$F$1000,MATCH($A51,Posts!$R$2:$R$1000,0))),"")</f>
        <v/>
      </c>
      <c r="F51" s="36">
        <f>IFERROR(INDEX(Posts!$G$2:$G$1000,MATCH($A51,Posts!$R$2:$R$1000,0)),"")</f>
        <v/>
      </c>
      <c r="G51" s="37">
        <f>IFERROR(IF(INDEX(Posts!$E$2:$E$1000,MATCH($A51,Posts!$R$2:$R$1000,0))="","",HYPERLINK(INDEX(Posts!$E$2:$E$1000,MATCH($A51,Posts!$R$2:$R$1000,0)))),"")</f>
        <v/>
      </c>
    </row>
    <row r="52">
      <c r="A52" s="19" t="n">
        <v>7</v>
      </c>
      <c r="B52" s="33">
        <f>IFERROR(INDEX(Posts!$C$2:$C$1000,MATCH($A52,Posts!$R$2:$R$1000,0))&amp;"","")</f>
        <v/>
      </c>
      <c r="C52" s="34">
        <f>IFERROR(INDEX(Posts!$B$2:$B$1000,MATCH($A52,Posts!$R$2:$R$1000,0))&amp;"","")</f>
        <v/>
      </c>
      <c r="D52" s="34">
        <f>IFERROR(INDEX(Posts!$D$2:$D$1000,MATCH($A52,Posts!$R$2:$R$1000,0))&amp;"","")</f>
        <v/>
      </c>
      <c r="E52" s="35">
        <f>IFERROR(IF(INDEX(Posts!$F$2:$F$1000,MATCH($A52,Posts!$R$2:$R$1000,0))="","",INDEX(Posts!$F$2:$F$1000,MATCH($A52,Posts!$R$2:$R$1000,0))),"")</f>
        <v/>
      </c>
      <c r="F52" s="36">
        <f>IFERROR(INDEX(Posts!$G$2:$G$1000,MATCH($A52,Posts!$R$2:$R$1000,0)),"")</f>
        <v/>
      </c>
      <c r="G52" s="37">
        <f>IFERROR(IF(INDEX(Posts!$E$2:$E$1000,MATCH($A52,Posts!$R$2:$R$1000,0))="","",HYPERLINK(INDEX(Posts!$E$2:$E$1000,MATCH($A52,Posts!$R$2:$R$1000,0)))),"")</f>
        <v/>
      </c>
    </row>
    <row r="53">
      <c r="A53" s="19" t="n">
        <v>8</v>
      </c>
      <c r="B53" s="33">
        <f>IFERROR(INDEX(Posts!$C$2:$C$1000,MATCH($A53,Posts!$R$2:$R$1000,0))&amp;"","")</f>
        <v/>
      </c>
      <c r="C53" s="34">
        <f>IFERROR(INDEX(Posts!$B$2:$B$1000,MATCH($A53,Posts!$R$2:$R$1000,0))&amp;"","")</f>
        <v/>
      </c>
      <c r="D53" s="34">
        <f>IFERROR(INDEX(Posts!$D$2:$D$1000,MATCH($A53,Posts!$R$2:$R$1000,0))&amp;"","")</f>
        <v/>
      </c>
      <c r="E53" s="35">
        <f>IFERROR(IF(INDEX(Posts!$F$2:$F$1000,MATCH($A53,Posts!$R$2:$R$1000,0))="","",INDEX(Posts!$F$2:$F$1000,MATCH($A53,Posts!$R$2:$R$1000,0))),"")</f>
        <v/>
      </c>
      <c r="F53" s="36">
        <f>IFERROR(INDEX(Posts!$G$2:$G$1000,MATCH($A53,Posts!$R$2:$R$1000,0)),"")</f>
        <v/>
      </c>
      <c r="G53" s="37">
        <f>IFERROR(IF(INDEX(Posts!$E$2:$E$1000,MATCH($A53,Posts!$R$2:$R$1000,0))="","",HYPERLINK(INDEX(Posts!$E$2:$E$1000,MATCH($A53,Posts!$R$2:$R$1000,0)))),"")</f>
        <v/>
      </c>
    </row>
    <row r="54">
      <c r="A54" s="19" t="n">
        <v>9</v>
      </c>
      <c r="B54" s="33">
        <f>IFERROR(INDEX(Posts!$C$2:$C$1000,MATCH($A54,Posts!$R$2:$R$1000,0))&amp;"","")</f>
        <v/>
      </c>
      <c r="C54" s="34">
        <f>IFERROR(INDEX(Posts!$B$2:$B$1000,MATCH($A54,Posts!$R$2:$R$1000,0))&amp;"","")</f>
        <v/>
      </c>
      <c r="D54" s="34">
        <f>IFERROR(INDEX(Posts!$D$2:$D$1000,MATCH($A54,Posts!$R$2:$R$1000,0))&amp;"","")</f>
        <v/>
      </c>
      <c r="E54" s="35">
        <f>IFERROR(IF(INDEX(Posts!$F$2:$F$1000,MATCH($A54,Posts!$R$2:$R$1000,0))="","",INDEX(Posts!$F$2:$F$1000,MATCH($A54,Posts!$R$2:$R$1000,0))),"")</f>
        <v/>
      </c>
      <c r="F54" s="36">
        <f>IFERROR(INDEX(Posts!$G$2:$G$1000,MATCH($A54,Posts!$R$2:$R$1000,0)),"")</f>
        <v/>
      </c>
      <c r="G54" s="37">
        <f>IFERROR(IF(INDEX(Posts!$E$2:$E$1000,MATCH($A54,Posts!$R$2:$R$1000,0))="","",HYPERLINK(INDEX(Posts!$E$2:$E$1000,MATCH($A54,Posts!$R$2:$R$1000,0)))),"")</f>
        <v/>
      </c>
    </row>
    <row r="55">
      <c r="A55" s="19" t="n">
        <v>10</v>
      </c>
      <c r="B55" s="33">
        <f>IFERROR(INDEX(Posts!$C$2:$C$1000,MATCH($A55,Posts!$R$2:$R$1000,0))&amp;"","")</f>
        <v/>
      </c>
      <c r="C55" s="34">
        <f>IFERROR(INDEX(Posts!$B$2:$B$1000,MATCH($A55,Posts!$R$2:$R$1000,0))&amp;"","")</f>
        <v/>
      </c>
      <c r="D55" s="34">
        <f>IFERROR(INDEX(Posts!$D$2:$D$1000,MATCH($A55,Posts!$R$2:$R$1000,0))&amp;"","")</f>
        <v/>
      </c>
      <c r="E55" s="35">
        <f>IFERROR(IF(INDEX(Posts!$F$2:$F$1000,MATCH($A55,Posts!$R$2:$R$1000,0))="","",INDEX(Posts!$F$2:$F$1000,MATCH($A55,Posts!$R$2:$R$1000,0))),"")</f>
        <v/>
      </c>
      <c r="F55" s="36">
        <f>IFERROR(INDEX(Posts!$G$2:$G$1000,MATCH($A55,Posts!$R$2:$R$1000,0)),"")</f>
        <v/>
      </c>
      <c r="G55" s="37">
        <f>IFERROR(IF(INDEX(Posts!$E$2:$E$1000,MATCH($A55,Posts!$R$2:$R$1000,0))="","",HYPERLINK(INDEX(Posts!$E$2:$E$1000,MATCH($A55,Posts!$R$2:$R$1000,0)))),"")</f>
        <v/>
      </c>
    </row>
    <row r="57">
      <c r="B57" s="3" t="inlineStr">
        <is>
          <t>12-week trend</t>
        </is>
      </c>
    </row>
    <row r="58">
      <c r="B58" s="31" t="inlineStr">
        <is>
          <t>The 12 weeks up to your latest post. Weeks start on Monday.</t>
        </is>
      </c>
    </row>
    <row r="59" ht="26" customHeight="1">
      <c r="B59" s="23" t="inlineStr">
        <is>
          <t>Week of</t>
        </is>
      </c>
      <c r="C59" s="24" t="inlineStr">
        <is>
          <t>Posts</t>
        </is>
      </c>
      <c r="D59" s="24" t="inlineStr">
        <is>
          <t>Views</t>
        </is>
      </c>
      <c r="E59" s="24" t="inlineStr">
        <is>
          <t>Avg views</t>
        </is>
      </c>
    </row>
    <row r="60">
      <c r="B60" s="38">
        <f>IF(COUNT(Posts!$A$2:$A$1000)=0,"",MAX(Posts!$A$2:$A$1000)-WEEKDAY(MAX(Posts!$A$2:$A$1000),2)+1-77)</f>
        <v/>
      </c>
      <c r="C60" s="13">
        <f>IF(B60="","",COUNTIFS(Posts!$A$2:$A$1000,"&gt;="&amp;B60,Posts!$A$2:$A$1000,"&lt;"&amp;(B60+7)))</f>
        <v/>
      </c>
      <c r="D60" s="13">
        <f>IF(B60="","",SUMIFS(Posts!$G$2:$G$1000,Posts!$A$2:$A$1000,"&gt;="&amp;B60,Posts!$A$2:$A$1000,"&lt;"&amp;(B60+7)))</f>
        <v/>
      </c>
      <c r="E60" s="13">
        <f>IF(B60="","",IFERROR(AVERAGEIFS(Posts!$G$2:$G$1000,Posts!$A$2:$A$1000,"&gt;="&amp;B60,Posts!$A$2:$A$1000,"&lt;"&amp;(B60+7)),""))</f>
        <v/>
      </c>
    </row>
    <row r="61">
      <c r="B61" s="38">
        <f>IF(B60="","",B60+7)</f>
        <v/>
      </c>
      <c r="C61" s="13">
        <f>IF(B61="","",COUNTIFS(Posts!$A$2:$A$1000,"&gt;="&amp;B61,Posts!$A$2:$A$1000,"&lt;"&amp;(B61+7)))</f>
        <v/>
      </c>
      <c r="D61" s="13">
        <f>IF(B61="","",SUMIFS(Posts!$G$2:$G$1000,Posts!$A$2:$A$1000,"&gt;="&amp;B61,Posts!$A$2:$A$1000,"&lt;"&amp;(B61+7)))</f>
        <v/>
      </c>
      <c r="E61" s="13">
        <f>IF(B61="","",IFERROR(AVERAGEIFS(Posts!$G$2:$G$1000,Posts!$A$2:$A$1000,"&gt;="&amp;B61,Posts!$A$2:$A$1000,"&lt;"&amp;(B61+7)),""))</f>
        <v/>
      </c>
    </row>
    <row r="62">
      <c r="B62" s="38">
        <f>IF(B61="","",B61+7)</f>
        <v/>
      </c>
      <c r="C62" s="13">
        <f>IF(B62="","",COUNTIFS(Posts!$A$2:$A$1000,"&gt;="&amp;B62,Posts!$A$2:$A$1000,"&lt;"&amp;(B62+7)))</f>
        <v/>
      </c>
      <c r="D62" s="13">
        <f>IF(B62="","",SUMIFS(Posts!$G$2:$G$1000,Posts!$A$2:$A$1000,"&gt;="&amp;B62,Posts!$A$2:$A$1000,"&lt;"&amp;(B62+7)))</f>
        <v/>
      </c>
      <c r="E62" s="13">
        <f>IF(B62="","",IFERROR(AVERAGEIFS(Posts!$G$2:$G$1000,Posts!$A$2:$A$1000,"&gt;="&amp;B62,Posts!$A$2:$A$1000,"&lt;"&amp;(B62+7)),""))</f>
        <v/>
      </c>
    </row>
    <row r="63">
      <c r="B63" s="38">
        <f>IF(B62="","",B62+7)</f>
        <v/>
      </c>
      <c r="C63" s="13">
        <f>IF(B63="","",COUNTIFS(Posts!$A$2:$A$1000,"&gt;="&amp;B63,Posts!$A$2:$A$1000,"&lt;"&amp;(B63+7)))</f>
        <v/>
      </c>
      <c r="D63" s="13">
        <f>IF(B63="","",SUMIFS(Posts!$G$2:$G$1000,Posts!$A$2:$A$1000,"&gt;="&amp;B63,Posts!$A$2:$A$1000,"&lt;"&amp;(B63+7)))</f>
        <v/>
      </c>
      <c r="E63" s="13">
        <f>IF(B63="","",IFERROR(AVERAGEIFS(Posts!$G$2:$G$1000,Posts!$A$2:$A$1000,"&gt;="&amp;B63,Posts!$A$2:$A$1000,"&lt;"&amp;(B63+7)),""))</f>
        <v/>
      </c>
    </row>
    <row r="64">
      <c r="B64" s="38">
        <f>IF(B63="","",B63+7)</f>
        <v/>
      </c>
      <c r="C64" s="13">
        <f>IF(B64="","",COUNTIFS(Posts!$A$2:$A$1000,"&gt;="&amp;B64,Posts!$A$2:$A$1000,"&lt;"&amp;(B64+7)))</f>
        <v/>
      </c>
      <c r="D64" s="13">
        <f>IF(B64="","",SUMIFS(Posts!$G$2:$G$1000,Posts!$A$2:$A$1000,"&gt;="&amp;B64,Posts!$A$2:$A$1000,"&lt;"&amp;(B64+7)))</f>
        <v/>
      </c>
      <c r="E64" s="13">
        <f>IF(B64="","",IFERROR(AVERAGEIFS(Posts!$G$2:$G$1000,Posts!$A$2:$A$1000,"&gt;="&amp;B64,Posts!$A$2:$A$1000,"&lt;"&amp;(B64+7)),""))</f>
        <v/>
      </c>
    </row>
    <row r="65">
      <c r="B65" s="38">
        <f>IF(B64="","",B64+7)</f>
        <v/>
      </c>
      <c r="C65" s="13">
        <f>IF(B65="","",COUNTIFS(Posts!$A$2:$A$1000,"&gt;="&amp;B65,Posts!$A$2:$A$1000,"&lt;"&amp;(B65+7)))</f>
        <v/>
      </c>
      <c r="D65" s="13">
        <f>IF(B65="","",SUMIFS(Posts!$G$2:$G$1000,Posts!$A$2:$A$1000,"&gt;="&amp;B65,Posts!$A$2:$A$1000,"&lt;"&amp;(B65+7)))</f>
        <v/>
      </c>
      <c r="E65" s="13">
        <f>IF(B65="","",IFERROR(AVERAGEIFS(Posts!$G$2:$G$1000,Posts!$A$2:$A$1000,"&gt;="&amp;B65,Posts!$A$2:$A$1000,"&lt;"&amp;(B65+7)),""))</f>
        <v/>
      </c>
    </row>
    <row r="66">
      <c r="B66" s="38">
        <f>IF(B65="","",B65+7)</f>
        <v/>
      </c>
      <c r="C66" s="13">
        <f>IF(B66="","",COUNTIFS(Posts!$A$2:$A$1000,"&gt;="&amp;B66,Posts!$A$2:$A$1000,"&lt;"&amp;(B66+7)))</f>
        <v/>
      </c>
      <c r="D66" s="13">
        <f>IF(B66="","",SUMIFS(Posts!$G$2:$G$1000,Posts!$A$2:$A$1000,"&gt;="&amp;B66,Posts!$A$2:$A$1000,"&lt;"&amp;(B66+7)))</f>
        <v/>
      </c>
      <c r="E66" s="13">
        <f>IF(B66="","",IFERROR(AVERAGEIFS(Posts!$G$2:$G$1000,Posts!$A$2:$A$1000,"&gt;="&amp;B66,Posts!$A$2:$A$1000,"&lt;"&amp;(B66+7)),""))</f>
        <v/>
      </c>
    </row>
    <row r="67">
      <c r="B67" s="38">
        <f>IF(B66="","",B66+7)</f>
        <v/>
      </c>
      <c r="C67" s="13">
        <f>IF(B67="","",COUNTIFS(Posts!$A$2:$A$1000,"&gt;="&amp;B67,Posts!$A$2:$A$1000,"&lt;"&amp;(B67+7)))</f>
        <v/>
      </c>
      <c r="D67" s="13">
        <f>IF(B67="","",SUMIFS(Posts!$G$2:$G$1000,Posts!$A$2:$A$1000,"&gt;="&amp;B67,Posts!$A$2:$A$1000,"&lt;"&amp;(B67+7)))</f>
        <v/>
      </c>
      <c r="E67" s="13">
        <f>IF(B67="","",IFERROR(AVERAGEIFS(Posts!$G$2:$G$1000,Posts!$A$2:$A$1000,"&gt;="&amp;B67,Posts!$A$2:$A$1000,"&lt;"&amp;(B67+7)),""))</f>
        <v/>
      </c>
    </row>
    <row r="68">
      <c r="B68" s="38">
        <f>IF(B67="","",B67+7)</f>
        <v/>
      </c>
      <c r="C68" s="13">
        <f>IF(B68="","",COUNTIFS(Posts!$A$2:$A$1000,"&gt;="&amp;B68,Posts!$A$2:$A$1000,"&lt;"&amp;(B68+7)))</f>
        <v/>
      </c>
      <c r="D68" s="13">
        <f>IF(B68="","",SUMIFS(Posts!$G$2:$G$1000,Posts!$A$2:$A$1000,"&gt;="&amp;B68,Posts!$A$2:$A$1000,"&lt;"&amp;(B68+7)))</f>
        <v/>
      </c>
      <c r="E68" s="13">
        <f>IF(B68="","",IFERROR(AVERAGEIFS(Posts!$G$2:$G$1000,Posts!$A$2:$A$1000,"&gt;="&amp;B68,Posts!$A$2:$A$1000,"&lt;"&amp;(B68+7)),""))</f>
        <v/>
      </c>
    </row>
    <row r="69">
      <c r="B69" s="38">
        <f>IF(B68="","",B68+7)</f>
        <v/>
      </c>
      <c r="C69" s="13">
        <f>IF(B69="","",COUNTIFS(Posts!$A$2:$A$1000,"&gt;="&amp;B69,Posts!$A$2:$A$1000,"&lt;"&amp;(B69+7)))</f>
        <v/>
      </c>
      <c r="D69" s="13">
        <f>IF(B69="","",SUMIFS(Posts!$G$2:$G$1000,Posts!$A$2:$A$1000,"&gt;="&amp;B69,Posts!$A$2:$A$1000,"&lt;"&amp;(B69+7)))</f>
        <v/>
      </c>
      <c r="E69" s="13">
        <f>IF(B69="","",IFERROR(AVERAGEIFS(Posts!$G$2:$G$1000,Posts!$A$2:$A$1000,"&gt;="&amp;B69,Posts!$A$2:$A$1000,"&lt;"&amp;(B69+7)),""))</f>
        <v/>
      </c>
    </row>
    <row r="70">
      <c r="B70" s="38">
        <f>IF(B69="","",B69+7)</f>
        <v/>
      </c>
      <c r="C70" s="13">
        <f>IF(B70="","",COUNTIFS(Posts!$A$2:$A$1000,"&gt;="&amp;B70,Posts!$A$2:$A$1000,"&lt;"&amp;(B70+7)))</f>
        <v/>
      </c>
      <c r="D70" s="13">
        <f>IF(B70="","",SUMIFS(Posts!$G$2:$G$1000,Posts!$A$2:$A$1000,"&gt;="&amp;B70,Posts!$A$2:$A$1000,"&lt;"&amp;(B70+7)))</f>
        <v/>
      </c>
      <c r="E70" s="13">
        <f>IF(B70="","",IFERROR(AVERAGEIFS(Posts!$G$2:$G$1000,Posts!$A$2:$A$1000,"&gt;="&amp;B70,Posts!$A$2:$A$1000,"&lt;"&amp;(B70+7)),""))</f>
        <v/>
      </c>
    </row>
    <row r="71">
      <c r="B71" s="38">
        <f>IF(B70="","",B70+7)</f>
        <v/>
      </c>
      <c r="C71" s="13">
        <f>IF(B71="","",COUNTIFS(Posts!$A$2:$A$1000,"&gt;="&amp;B71,Posts!$A$2:$A$1000,"&lt;"&amp;(B71+7)))</f>
        <v/>
      </c>
      <c r="D71" s="13">
        <f>IF(B71="","",SUMIFS(Posts!$G$2:$G$1000,Posts!$A$2:$A$1000,"&gt;="&amp;B71,Posts!$A$2:$A$1000,"&lt;"&amp;(B71+7)))</f>
        <v/>
      </c>
      <c r="E71" s="13">
        <f>IF(B71="","",IFERROR(AVERAGEIFS(Posts!$G$2:$G$1000,Posts!$A$2:$A$1000,"&gt;="&amp;B71,Posts!$A$2:$A$1000,"&lt;"&amp;(B71+7)),""))</f>
        <v/>
      </c>
    </row>
    <row r="73">
      <c r="B73" s="3" t="inlineStr">
        <is>
          <t>Trial reels against main posts</t>
        </is>
      </c>
    </row>
    <row r="74">
      <c r="B74" s="31" t="inlineStr">
        <is>
          <t>Trial reels are an Instagram feature, so compare them with Instagram main posts.</t>
        </is>
      </c>
    </row>
    <row r="75" ht="26" customHeight="1">
      <c r="B75" s="23" t="inlineStr"/>
      <c r="C75" s="24" t="inlineStr">
        <is>
          <t>Posts</t>
        </is>
      </c>
      <c r="D75" s="24" t="inlineStr">
        <is>
          <t>Views</t>
        </is>
      </c>
      <c r="E75" s="24" t="inlineStr">
        <is>
          <t>Avg views</t>
        </is>
      </c>
      <c r="F75" s="24" t="inlineStr">
        <is>
          <t>Engagement rate</t>
        </is>
      </c>
    </row>
    <row r="76">
      <c r="B76" s="33" t="inlineStr">
        <is>
          <t>Main posts, all platforms</t>
        </is>
      </c>
      <c r="C76" s="36">
        <f>COUNTIFS(Posts!$N$2:$N$1000,"&gt;0",Posts!$L$2:$L$1000,"&lt;&gt;Yes")</f>
        <v/>
      </c>
      <c r="D76" s="36">
        <f>SUMIFS(Posts!$G$2:$G$1000,Posts!$N$2:$N$1000,"&gt;0",Posts!$L$2:$L$1000,"&lt;&gt;Yes")</f>
        <v/>
      </c>
      <c r="E76" s="36">
        <f>IFERROR(AVERAGEIFS(Posts!$G$2:$G$1000,Posts!$N$2:$N$1000,"&gt;0",Posts!$L$2:$L$1000,"&lt;&gt;Yes"),"")</f>
        <v/>
      </c>
      <c r="F76" s="39">
        <f>IFERROR(SUMIFS(Posts!$P$2:$P$1000,Posts!$N$2:$N$1000,"&gt;0",Posts!$L$2:$L$1000,"&lt;&gt;Yes",Posts!$G$2:$G$1000,"&gt;0")/D76,"")</f>
        <v/>
      </c>
    </row>
    <row r="77">
      <c r="B77" s="33" t="inlineStr">
        <is>
          <t>Instagram main posts</t>
        </is>
      </c>
      <c r="C77" s="36">
        <f>COUNTIFS(Posts!$N$2:$N$1000,"&gt;0",Posts!$B$2:$B$1000,"Instagram",Posts!$L$2:$L$1000,"&lt;&gt;Yes")</f>
        <v/>
      </c>
      <c r="D77" s="36">
        <f>SUMIFS(Posts!$G$2:$G$1000,Posts!$N$2:$N$1000,"&gt;0",Posts!$B$2:$B$1000,"Instagram",Posts!$L$2:$L$1000,"&lt;&gt;Yes")</f>
        <v/>
      </c>
      <c r="E77" s="36">
        <f>IFERROR(AVERAGEIFS(Posts!$G$2:$G$1000,Posts!$N$2:$N$1000,"&gt;0",Posts!$B$2:$B$1000,"Instagram",Posts!$L$2:$L$1000,"&lt;&gt;Yes"),"")</f>
        <v/>
      </c>
      <c r="F77" s="39">
        <f>IFERROR(SUMIFS(Posts!$P$2:$P$1000,Posts!$N$2:$N$1000,"&gt;0",Posts!$B$2:$B$1000,"Instagram",Posts!$L$2:$L$1000,"&lt;&gt;Yes",Posts!$G$2:$G$1000,"&gt;0")/D77,"")</f>
        <v/>
      </c>
    </row>
    <row r="78">
      <c r="B78" s="33" t="inlineStr">
        <is>
          <t>Trial reels</t>
        </is>
      </c>
      <c r="C78" s="36">
        <f>COUNTIFS(Posts!$N$2:$N$1000,"&gt;0",Posts!$L$2:$L$1000,"Yes")</f>
        <v/>
      </c>
      <c r="D78" s="36">
        <f>SUMIFS(Posts!$G$2:$G$1000,Posts!$N$2:$N$1000,"&gt;0",Posts!$L$2:$L$1000,"Yes")</f>
        <v/>
      </c>
      <c r="E78" s="36">
        <f>IFERROR(AVERAGEIFS(Posts!$G$2:$G$1000,Posts!$N$2:$N$1000,"&gt;0",Posts!$L$2:$L$1000,"Yes"),"")</f>
        <v/>
      </c>
      <c r="F78" s="39">
        <f>IFERROR(SUMIFS(Posts!$P$2:$P$1000,Posts!$N$2:$N$1000,"&gt;0",Posts!$L$2:$L$1000,"Yes",Posts!$G$2:$G$1000,"&gt;0")/D78,"")</f>
        <v/>
      </c>
    </row>
    <row r="80">
      <c r="B80" s="3" t="inlineStr">
        <is>
          <t>Best song sections</t>
        </is>
      </c>
    </row>
    <row r="81">
      <c r="B81" s="31" t="inlineStr">
        <is>
          <t>In song order; Rank 1 has the most views per post.</t>
        </is>
      </c>
    </row>
    <row r="82" ht="26" customHeight="1">
      <c r="B82" s="23" t="inlineStr">
        <is>
          <t>Section</t>
        </is>
      </c>
      <c r="C82" s="24" t="inlineStr">
        <is>
          <t>Posts</t>
        </is>
      </c>
      <c r="D82" s="24" t="inlineStr">
        <is>
          <t>Views</t>
        </is>
      </c>
      <c r="E82" s="24" t="inlineStr">
        <is>
          <t>Avg views</t>
        </is>
      </c>
      <c r="F82" s="24" t="inlineStr">
        <is>
          <t>Rank</t>
        </is>
      </c>
    </row>
    <row r="83">
      <c r="B83" s="10">
        <f>Lists!$B$2</f>
        <v/>
      </c>
      <c r="C83" s="13">
        <f>COUNTIFS(Posts!$N$2:$N$1000,"&gt;0",Posts!$D$2:$D$1000,$B83)</f>
        <v/>
      </c>
      <c r="D83" s="13">
        <f>SUMIFS(Posts!$G$2:$G$1000,Posts!$N$2:$N$1000,"&gt;0",Posts!$D$2:$D$1000,$B83)</f>
        <v/>
      </c>
      <c r="E83" s="13">
        <f>IFERROR(AVERAGEIFS(Posts!$G$2:$G$1000,Posts!$N$2:$N$1000,"&gt;0",Posts!$D$2:$D$1000,$B83),"")</f>
        <v/>
      </c>
      <c r="F83" s="12">
        <f>IF(E83="","",RANK(E83,$E$83:$E$89,0))</f>
        <v/>
      </c>
    </row>
    <row r="84">
      <c r="B84" s="10">
        <f>Lists!$B$3</f>
        <v/>
      </c>
      <c r="C84" s="13">
        <f>COUNTIFS(Posts!$N$2:$N$1000,"&gt;0",Posts!$D$2:$D$1000,$B84)</f>
        <v/>
      </c>
      <c r="D84" s="13">
        <f>SUMIFS(Posts!$G$2:$G$1000,Posts!$N$2:$N$1000,"&gt;0",Posts!$D$2:$D$1000,$B84)</f>
        <v/>
      </c>
      <c r="E84" s="13">
        <f>IFERROR(AVERAGEIFS(Posts!$G$2:$G$1000,Posts!$N$2:$N$1000,"&gt;0",Posts!$D$2:$D$1000,$B84),"")</f>
        <v/>
      </c>
      <c r="F84" s="12">
        <f>IF(E84="","",RANK(E84,$E$83:$E$89,0))</f>
        <v/>
      </c>
    </row>
    <row r="85">
      <c r="B85" s="10">
        <f>Lists!$B$4</f>
        <v/>
      </c>
      <c r="C85" s="13">
        <f>COUNTIFS(Posts!$N$2:$N$1000,"&gt;0",Posts!$D$2:$D$1000,$B85)</f>
        <v/>
      </c>
      <c r="D85" s="13">
        <f>SUMIFS(Posts!$G$2:$G$1000,Posts!$N$2:$N$1000,"&gt;0",Posts!$D$2:$D$1000,$B85)</f>
        <v/>
      </c>
      <c r="E85" s="13">
        <f>IFERROR(AVERAGEIFS(Posts!$G$2:$G$1000,Posts!$N$2:$N$1000,"&gt;0",Posts!$D$2:$D$1000,$B85),"")</f>
        <v/>
      </c>
      <c r="F85" s="12">
        <f>IF(E85="","",RANK(E85,$E$83:$E$89,0))</f>
        <v/>
      </c>
    </row>
    <row r="86">
      <c r="B86" s="10">
        <f>Lists!$B$5</f>
        <v/>
      </c>
      <c r="C86" s="13">
        <f>COUNTIFS(Posts!$N$2:$N$1000,"&gt;0",Posts!$D$2:$D$1000,$B86)</f>
        <v/>
      </c>
      <c r="D86" s="13">
        <f>SUMIFS(Posts!$G$2:$G$1000,Posts!$N$2:$N$1000,"&gt;0",Posts!$D$2:$D$1000,$B86)</f>
        <v/>
      </c>
      <c r="E86" s="13">
        <f>IFERROR(AVERAGEIFS(Posts!$G$2:$G$1000,Posts!$N$2:$N$1000,"&gt;0",Posts!$D$2:$D$1000,$B86),"")</f>
        <v/>
      </c>
      <c r="F86" s="12">
        <f>IF(E86="","",RANK(E86,$E$83:$E$89,0))</f>
        <v/>
      </c>
    </row>
    <row r="87">
      <c r="B87" s="10">
        <f>Lists!$B$6</f>
        <v/>
      </c>
      <c r="C87" s="13">
        <f>COUNTIFS(Posts!$N$2:$N$1000,"&gt;0",Posts!$D$2:$D$1000,$B87)</f>
        <v/>
      </c>
      <c r="D87" s="13">
        <f>SUMIFS(Posts!$G$2:$G$1000,Posts!$N$2:$N$1000,"&gt;0",Posts!$D$2:$D$1000,$B87)</f>
        <v/>
      </c>
      <c r="E87" s="13">
        <f>IFERROR(AVERAGEIFS(Posts!$G$2:$G$1000,Posts!$N$2:$N$1000,"&gt;0",Posts!$D$2:$D$1000,$B87),"")</f>
        <v/>
      </c>
      <c r="F87" s="12">
        <f>IF(E87="","",RANK(E87,$E$83:$E$89,0))</f>
        <v/>
      </c>
    </row>
    <row r="88">
      <c r="B88" s="10">
        <f>Lists!$B$7</f>
        <v/>
      </c>
      <c r="C88" s="13">
        <f>COUNTIFS(Posts!$N$2:$N$1000,"&gt;0",Posts!$D$2:$D$1000,$B88)</f>
        <v/>
      </c>
      <c r="D88" s="13">
        <f>SUMIFS(Posts!$G$2:$G$1000,Posts!$N$2:$N$1000,"&gt;0",Posts!$D$2:$D$1000,$B88)</f>
        <v/>
      </c>
      <c r="E88" s="13">
        <f>IFERROR(AVERAGEIFS(Posts!$G$2:$G$1000,Posts!$N$2:$N$1000,"&gt;0",Posts!$D$2:$D$1000,$B88),"")</f>
        <v/>
      </c>
      <c r="F88" s="12">
        <f>IF(E88="","",RANK(E88,$E$83:$E$89,0))</f>
        <v/>
      </c>
    </row>
    <row r="89">
      <c r="B89" s="10">
        <f>Lists!$B$8</f>
        <v/>
      </c>
      <c r="C89" s="13">
        <f>COUNTIFS(Posts!$N$2:$N$1000,"&gt;0",Posts!$D$2:$D$1000,$B89)</f>
        <v/>
      </c>
      <c r="D89" s="13">
        <f>SUMIFS(Posts!$G$2:$G$1000,Posts!$N$2:$N$1000,"&gt;0",Posts!$D$2:$D$1000,$B89)</f>
        <v/>
      </c>
      <c r="E89" s="13">
        <f>IFERROR(AVERAGEIFS(Posts!$G$2:$G$1000,Posts!$N$2:$N$1000,"&gt;0",Posts!$D$2:$D$1000,$B89),"")</f>
        <v/>
      </c>
      <c r="F89" s="12">
        <f>IF(E89="","",RANK(E89,$E$83:$E$89,0))</f>
        <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500"/>
  <sheetViews>
    <sheetView workbookViewId="0">
      <pane ySplit="1" topLeftCell="A2" activePane="bottomLeft" state="frozen"/>
      <selection pane="bottomLeft" activeCell="A1" sqref="A1"/>
    </sheetView>
  </sheetViews>
  <sheetFormatPr baseColWidth="8" defaultRowHeight="15"/>
  <cols>
    <col width="13" customWidth="1" min="1" max="1"/>
    <col width="18" customWidth="1" min="2" max="2"/>
    <col width="11" customWidth="1" min="3" max="3"/>
    <col width="32" customWidth="1" min="4" max="4"/>
    <col width="26" customWidth="1" min="5" max="5"/>
    <col width="11" customWidth="1" min="6" max="6"/>
    <col width="46" customWidth="1" min="7" max="7"/>
  </cols>
  <sheetData>
    <row r="1" ht="30" customHeight="1">
      <c r="A1" s="7" t="inlineStr">
        <is>
          <t>Planned date</t>
        </is>
      </c>
      <c r="B1" s="7" t="inlineStr">
        <is>
          <t>Song</t>
        </is>
      </c>
      <c r="C1" s="7" t="inlineStr">
        <is>
          <t>Section</t>
        </is>
      </c>
      <c r="D1" s="7" t="inlineStr">
        <is>
          <t>Take file</t>
        </is>
      </c>
      <c r="E1" s="7" t="inlineStr">
        <is>
          <t>Platform(s)</t>
        </is>
      </c>
      <c r="F1" s="7" t="inlineStr">
        <is>
          <t>Status</t>
        </is>
      </c>
      <c r="G1" s="7" t="inlineStr">
        <is>
          <t>Posted link</t>
        </is>
      </c>
    </row>
    <row r="2">
      <c r="A2" s="9" t="n">
        <v>46287</v>
      </c>
      <c r="B2" s="10" t="inlineStr">
        <is>
          <t>Song Title</t>
        </is>
      </c>
      <c r="C2" s="10" t="inlineStr">
        <is>
          <t>pre-chorus</t>
        </is>
      </c>
      <c r="D2" s="10" t="inlineStr">
        <is>
          <t>pre-chorus_08m51s-09m13s.mp4</t>
        </is>
      </c>
      <c r="E2" s="10" t="inlineStr">
        <is>
          <t>TikTok, Instagram, YouTube</t>
        </is>
      </c>
      <c r="F2" s="10" t="inlineStr">
        <is>
          <t>Posted</t>
        </is>
      </c>
      <c r="G2" s="11" t="inlineStr">
        <is>
          <t>https://www.tiktok.com/@yourhandle/video/0000000000000000022</t>
        </is>
      </c>
    </row>
    <row r="3">
      <c r="A3" s="9" t="n">
        <v>46294</v>
      </c>
      <c r="B3" s="10" t="inlineStr">
        <is>
          <t>Song Title</t>
        </is>
      </c>
      <c r="C3" s="10" t="inlineStr">
        <is>
          <t>chorus</t>
        </is>
      </c>
      <c r="D3" s="10" t="inlineStr">
        <is>
          <t>chorus-4_36m02s-36m23s.mp4</t>
        </is>
      </c>
      <c r="E3" s="10" t="inlineStr">
        <is>
          <t>TikTok, Instagram, YouTube</t>
        </is>
      </c>
      <c r="F3" s="10" t="inlineStr">
        <is>
          <t>Scheduled</t>
        </is>
      </c>
      <c r="G3" s="10" t="n"/>
    </row>
    <row r="4">
      <c r="A4" s="9" t="n">
        <v>46294</v>
      </c>
      <c r="B4" s="10" t="inlineStr">
        <is>
          <t>Song Title</t>
        </is>
      </c>
      <c r="C4" s="10" t="inlineStr">
        <is>
          <t>verse 1</t>
        </is>
      </c>
      <c r="D4" s="10" t="inlineStr">
        <is>
          <t>verse-1b_05m41s-06m00s.mp4</t>
        </is>
      </c>
      <c r="E4" s="10" t="inlineStr">
        <is>
          <t>Instagram trial reel</t>
        </is>
      </c>
      <c r="F4" s="10" t="inlineStr">
        <is>
          <t>Edited</t>
        </is>
      </c>
      <c r="G4" s="10" t="n"/>
    </row>
    <row r="5">
      <c r="A5" s="9" t="n">
        <v>46294</v>
      </c>
      <c r="B5" s="10" t="inlineStr">
        <is>
          <t>Song Title</t>
        </is>
      </c>
      <c r="C5" s="10" t="inlineStr">
        <is>
          <t>bridge</t>
        </is>
      </c>
      <c r="D5" s="10" t="inlineStr">
        <is>
          <t>bridge-2_29m10s-29m38s.mp4</t>
        </is>
      </c>
      <c r="E5" s="10" t="inlineStr">
        <is>
          <t>Instagram trial reel</t>
        </is>
      </c>
      <c r="F5" s="10" t="inlineStr">
        <is>
          <t>Edited</t>
        </is>
      </c>
      <c r="G5" s="10" t="n"/>
    </row>
    <row r="6">
      <c r="A6" s="9" t="n">
        <v>46301</v>
      </c>
      <c r="B6" s="10" t="inlineStr">
        <is>
          <t>Second Song</t>
        </is>
      </c>
      <c r="C6" s="10" t="inlineStr">
        <is>
          <t>chorus</t>
        </is>
      </c>
      <c r="D6" s="10" t="inlineStr">
        <is>
          <t>chorus_02m15s-02m36s.mp4</t>
        </is>
      </c>
      <c r="E6" s="10" t="inlineStr">
        <is>
          <t>TikTok, Instagram, YouTube</t>
        </is>
      </c>
      <c r="F6" s="10" t="inlineStr">
        <is>
          <t>Cut</t>
        </is>
      </c>
      <c r="G6" s="10" t="n"/>
    </row>
    <row r="7">
      <c r="A7" s="9" t="n">
        <v>46301</v>
      </c>
      <c r="B7" s="10" t="inlineStr">
        <is>
          <t>Second Song</t>
        </is>
      </c>
      <c r="C7" s="10" t="inlineStr">
        <is>
          <t>intro</t>
        </is>
      </c>
      <c r="D7" s="10" t="n"/>
      <c r="E7" s="10" t="inlineStr">
        <is>
          <t>TikTok, YouTube</t>
        </is>
      </c>
      <c r="F7" s="10" t="inlineStr">
        <is>
          <t>Idea</t>
        </is>
      </c>
      <c r="G7" s="10" t="n"/>
    </row>
    <row r="8">
      <c r="A8" s="9" t="n"/>
      <c r="B8" s="10" t="n"/>
      <c r="C8" s="10" t="n"/>
      <c r="D8" s="10" t="n"/>
      <c r="E8" s="10" t="n"/>
      <c r="F8" s="10" t="n"/>
      <c r="G8" s="10" t="n"/>
    </row>
    <row r="9">
      <c r="A9" s="9" t="n"/>
      <c r="B9" s="10" t="n"/>
      <c r="C9" s="10" t="n"/>
      <c r="D9" s="10" t="n"/>
      <c r="E9" s="10" t="n"/>
      <c r="F9" s="10" t="n"/>
      <c r="G9" s="10" t="n"/>
    </row>
    <row r="10">
      <c r="A10" s="9" t="n"/>
      <c r="B10" s="10" t="n"/>
      <c r="C10" s="10" t="n"/>
      <c r="D10" s="10" t="n"/>
      <c r="E10" s="10" t="n"/>
      <c r="F10" s="10" t="n"/>
      <c r="G10" s="10" t="n"/>
    </row>
    <row r="11">
      <c r="A11" s="9" t="n"/>
      <c r="B11" s="10" t="n"/>
      <c r="C11" s="10" t="n"/>
      <c r="D11" s="10" t="n"/>
      <c r="E11" s="10" t="n"/>
      <c r="F11" s="10" t="n"/>
      <c r="G11" s="10" t="n"/>
    </row>
    <row r="12">
      <c r="A12" s="9" t="n"/>
      <c r="B12" s="10" t="n"/>
      <c r="C12" s="10" t="n"/>
      <c r="D12" s="10" t="n"/>
      <c r="E12" s="10" t="n"/>
      <c r="F12" s="10" t="n"/>
      <c r="G12" s="10" t="n"/>
    </row>
    <row r="13">
      <c r="A13" s="9" t="n"/>
      <c r="B13" s="10" t="n"/>
      <c r="C13" s="10" t="n"/>
      <c r="D13" s="10" t="n"/>
      <c r="E13" s="10" t="n"/>
      <c r="F13" s="10" t="n"/>
      <c r="G13" s="10" t="n"/>
    </row>
    <row r="14">
      <c r="A14" s="9" t="n"/>
      <c r="B14" s="10" t="n"/>
      <c r="C14" s="10" t="n"/>
      <c r="D14" s="10" t="n"/>
      <c r="E14" s="10" t="n"/>
      <c r="F14" s="10" t="n"/>
      <c r="G14" s="10" t="n"/>
    </row>
    <row r="15">
      <c r="A15" s="9" t="n"/>
      <c r="B15" s="10" t="n"/>
      <c r="C15" s="10" t="n"/>
      <c r="D15" s="10" t="n"/>
      <c r="E15" s="10" t="n"/>
      <c r="F15" s="10" t="n"/>
      <c r="G15" s="10" t="n"/>
    </row>
    <row r="16">
      <c r="A16" s="9" t="n"/>
      <c r="B16" s="10" t="n"/>
      <c r="C16" s="10" t="n"/>
      <c r="D16" s="10" t="n"/>
      <c r="E16" s="10" t="n"/>
      <c r="F16" s="10" t="n"/>
      <c r="G16" s="10" t="n"/>
    </row>
    <row r="17">
      <c r="A17" s="9" t="n"/>
      <c r="B17" s="10" t="n"/>
      <c r="C17" s="10" t="n"/>
      <c r="D17" s="10" t="n"/>
      <c r="E17" s="10" t="n"/>
      <c r="F17" s="10" t="n"/>
      <c r="G17" s="10" t="n"/>
    </row>
    <row r="18">
      <c r="A18" s="9" t="n"/>
      <c r="B18" s="10" t="n"/>
      <c r="C18" s="10" t="n"/>
      <c r="D18" s="10" t="n"/>
      <c r="E18" s="10" t="n"/>
      <c r="F18" s="10" t="n"/>
      <c r="G18" s="10" t="n"/>
    </row>
    <row r="19">
      <c r="A19" s="9" t="n"/>
      <c r="B19" s="10" t="n"/>
      <c r="C19" s="10" t="n"/>
      <c r="D19" s="10" t="n"/>
      <c r="E19" s="10" t="n"/>
      <c r="F19" s="10" t="n"/>
      <c r="G19" s="10" t="n"/>
    </row>
    <row r="20">
      <c r="A20" s="9" t="n"/>
      <c r="B20" s="10" t="n"/>
      <c r="C20" s="10" t="n"/>
      <c r="D20" s="10" t="n"/>
      <c r="E20" s="10" t="n"/>
      <c r="F20" s="10" t="n"/>
      <c r="G20" s="10" t="n"/>
    </row>
    <row r="21">
      <c r="A21" s="9" t="n"/>
      <c r="B21" s="10" t="n"/>
      <c r="C21" s="10" t="n"/>
      <c r="D21" s="10" t="n"/>
      <c r="E21" s="10" t="n"/>
      <c r="F21" s="10" t="n"/>
      <c r="G21" s="10" t="n"/>
    </row>
    <row r="22">
      <c r="A22" s="9" t="n"/>
      <c r="B22" s="10" t="n"/>
      <c r="C22" s="10" t="n"/>
      <c r="D22" s="10" t="n"/>
      <c r="E22" s="10" t="n"/>
      <c r="F22" s="10" t="n"/>
      <c r="G22" s="10" t="n"/>
    </row>
    <row r="23">
      <c r="A23" s="9" t="n"/>
      <c r="B23" s="10" t="n"/>
      <c r="C23" s="10" t="n"/>
      <c r="D23" s="10" t="n"/>
      <c r="E23" s="10" t="n"/>
      <c r="F23" s="10" t="n"/>
      <c r="G23" s="10" t="n"/>
    </row>
    <row r="24">
      <c r="A24" s="9" t="n"/>
      <c r="B24" s="10" t="n"/>
      <c r="C24" s="10" t="n"/>
      <c r="D24" s="10" t="n"/>
      <c r="E24" s="10" t="n"/>
      <c r="F24" s="10" t="n"/>
      <c r="G24" s="10" t="n"/>
    </row>
    <row r="25">
      <c r="A25" s="9" t="n"/>
      <c r="B25" s="10" t="n"/>
      <c r="C25" s="10" t="n"/>
      <c r="D25" s="10" t="n"/>
      <c r="E25" s="10" t="n"/>
      <c r="F25" s="10" t="n"/>
      <c r="G25" s="10" t="n"/>
    </row>
    <row r="26">
      <c r="A26" s="9" t="n"/>
      <c r="B26" s="10" t="n"/>
      <c r="C26" s="10" t="n"/>
      <c r="D26" s="10" t="n"/>
      <c r="E26" s="10" t="n"/>
      <c r="F26" s="10" t="n"/>
      <c r="G26" s="10" t="n"/>
    </row>
    <row r="27">
      <c r="A27" s="9" t="n"/>
      <c r="B27" s="10" t="n"/>
      <c r="C27" s="10" t="n"/>
      <c r="D27" s="10" t="n"/>
      <c r="E27" s="10" t="n"/>
      <c r="F27" s="10" t="n"/>
      <c r="G27" s="10" t="n"/>
    </row>
    <row r="28">
      <c r="A28" s="9" t="n"/>
      <c r="B28" s="10" t="n"/>
      <c r="C28" s="10" t="n"/>
      <c r="D28" s="10" t="n"/>
      <c r="E28" s="10" t="n"/>
      <c r="F28" s="10" t="n"/>
      <c r="G28" s="10" t="n"/>
    </row>
    <row r="29">
      <c r="A29" s="9" t="n"/>
      <c r="B29" s="10" t="n"/>
      <c r="C29" s="10" t="n"/>
      <c r="D29" s="10" t="n"/>
      <c r="E29" s="10" t="n"/>
      <c r="F29" s="10" t="n"/>
      <c r="G29" s="10" t="n"/>
    </row>
    <row r="30">
      <c r="A30" s="9" t="n"/>
      <c r="B30" s="10" t="n"/>
      <c r="C30" s="10" t="n"/>
      <c r="D30" s="10" t="n"/>
      <c r="E30" s="10" t="n"/>
      <c r="F30" s="10" t="n"/>
      <c r="G30" s="10" t="n"/>
    </row>
    <row r="31">
      <c r="A31" s="9" t="n"/>
      <c r="B31" s="10" t="n"/>
      <c r="C31" s="10" t="n"/>
      <c r="D31" s="10" t="n"/>
      <c r="E31" s="10" t="n"/>
      <c r="F31" s="10" t="n"/>
      <c r="G31" s="10" t="n"/>
    </row>
    <row r="32">
      <c r="A32" s="9" t="n"/>
      <c r="B32" s="10" t="n"/>
      <c r="C32" s="10" t="n"/>
      <c r="D32" s="10" t="n"/>
      <c r="E32" s="10" t="n"/>
      <c r="F32" s="10" t="n"/>
      <c r="G32" s="10" t="n"/>
    </row>
    <row r="33">
      <c r="A33" s="9" t="n"/>
      <c r="B33" s="10" t="n"/>
      <c r="C33" s="10" t="n"/>
      <c r="D33" s="10" t="n"/>
      <c r="E33" s="10" t="n"/>
      <c r="F33" s="10" t="n"/>
      <c r="G33" s="10" t="n"/>
    </row>
    <row r="34">
      <c r="A34" s="9" t="n"/>
      <c r="B34" s="10" t="n"/>
      <c r="C34" s="10" t="n"/>
      <c r="D34" s="10" t="n"/>
      <c r="E34" s="10" t="n"/>
      <c r="F34" s="10" t="n"/>
      <c r="G34" s="10" t="n"/>
    </row>
    <row r="35">
      <c r="A35" s="9" t="n"/>
      <c r="B35" s="10" t="n"/>
      <c r="C35" s="10" t="n"/>
      <c r="D35" s="10" t="n"/>
      <c r="E35" s="10" t="n"/>
      <c r="F35" s="10" t="n"/>
      <c r="G35" s="10" t="n"/>
    </row>
    <row r="36">
      <c r="A36" s="9" t="n"/>
      <c r="B36" s="10" t="n"/>
      <c r="C36" s="10" t="n"/>
      <c r="D36" s="10" t="n"/>
      <c r="E36" s="10" t="n"/>
      <c r="F36" s="10" t="n"/>
      <c r="G36" s="10" t="n"/>
    </row>
    <row r="37">
      <c r="A37" s="9" t="n"/>
      <c r="B37" s="10" t="n"/>
      <c r="C37" s="10" t="n"/>
      <c r="D37" s="10" t="n"/>
      <c r="E37" s="10" t="n"/>
      <c r="F37" s="10" t="n"/>
      <c r="G37" s="10" t="n"/>
    </row>
    <row r="38">
      <c r="A38" s="9" t="n"/>
      <c r="B38" s="10" t="n"/>
      <c r="C38" s="10" t="n"/>
      <c r="D38" s="10" t="n"/>
      <c r="E38" s="10" t="n"/>
      <c r="F38" s="10" t="n"/>
      <c r="G38" s="10" t="n"/>
    </row>
    <row r="39">
      <c r="A39" s="9" t="n"/>
      <c r="B39" s="10" t="n"/>
      <c r="C39" s="10" t="n"/>
      <c r="D39" s="10" t="n"/>
      <c r="E39" s="10" t="n"/>
      <c r="F39" s="10" t="n"/>
      <c r="G39" s="10" t="n"/>
    </row>
    <row r="40">
      <c r="A40" s="9" t="n"/>
      <c r="B40" s="10" t="n"/>
      <c r="C40" s="10" t="n"/>
      <c r="D40" s="10" t="n"/>
      <c r="E40" s="10" t="n"/>
      <c r="F40" s="10" t="n"/>
      <c r="G40" s="10" t="n"/>
    </row>
    <row r="41">
      <c r="A41" s="9" t="n"/>
      <c r="B41" s="10" t="n"/>
      <c r="C41" s="10" t="n"/>
      <c r="D41" s="10" t="n"/>
      <c r="E41" s="10" t="n"/>
      <c r="F41" s="10" t="n"/>
      <c r="G41" s="10" t="n"/>
    </row>
    <row r="42">
      <c r="A42" s="9" t="n"/>
      <c r="B42" s="10" t="n"/>
      <c r="C42" s="10" t="n"/>
      <c r="D42" s="10" t="n"/>
      <c r="E42" s="10" t="n"/>
      <c r="F42" s="10" t="n"/>
      <c r="G42" s="10" t="n"/>
    </row>
    <row r="43">
      <c r="A43" s="9" t="n"/>
      <c r="B43" s="10" t="n"/>
      <c r="C43" s="10" t="n"/>
      <c r="D43" s="10" t="n"/>
      <c r="E43" s="10" t="n"/>
      <c r="F43" s="10" t="n"/>
      <c r="G43" s="10" t="n"/>
    </row>
    <row r="44">
      <c r="A44" s="9" t="n"/>
      <c r="B44" s="10" t="n"/>
      <c r="C44" s="10" t="n"/>
      <c r="D44" s="10" t="n"/>
      <c r="E44" s="10" t="n"/>
      <c r="F44" s="10" t="n"/>
      <c r="G44" s="10" t="n"/>
    </row>
    <row r="45">
      <c r="A45" s="9" t="n"/>
      <c r="B45" s="10" t="n"/>
      <c r="C45" s="10" t="n"/>
      <c r="D45" s="10" t="n"/>
      <c r="E45" s="10" t="n"/>
      <c r="F45" s="10" t="n"/>
      <c r="G45" s="10" t="n"/>
    </row>
    <row r="46">
      <c r="A46" s="9" t="n"/>
      <c r="B46" s="10" t="n"/>
      <c r="C46" s="10" t="n"/>
      <c r="D46" s="10" t="n"/>
      <c r="E46" s="10" t="n"/>
      <c r="F46" s="10" t="n"/>
      <c r="G46" s="10" t="n"/>
    </row>
    <row r="47">
      <c r="A47" s="9" t="n"/>
      <c r="B47" s="10" t="n"/>
      <c r="C47" s="10" t="n"/>
      <c r="D47" s="10" t="n"/>
      <c r="E47" s="10" t="n"/>
      <c r="F47" s="10" t="n"/>
      <c r="G47" s="10" t="n"/>
    </row>
    <row r="48">
      <c r="A48" s="9" t="n"/>
      <c r="B48" s="10" t="n"/>
      <c r="C48" s="10" t="n"/>
      <c r="D48" s="10" t="n"/>
      <c r="E48" s="10" t="n"/>
      <c r="F48" s="10" t="n"/>
      <c r="G48" s="10" t="n"/>
    </row>
    <row r="49">
      <c r="A49" s="9" t="n"/>
      <c r="B49" s="10" t="n"/>
      <c r="C49" s="10" t="n"/>
      <c r="D49" s="10" t="n"/>
      <c r="E49" s="10" t="n"/>
      <c r="F49" s="10" t="n"/>
      <c r="G49" s="10" t="n"/>
    </row>
    <row r="50">
      <c r="A50" s="9" t="n"/>
      <c r="B50" s="10" t="n"/>
      <c r="C50" s="10" t="n"/>
      <c r="D50" s="10" t="n"/>
      <c r="E50" s="10" t="n"/>
      <c r="F50" s="10" t="n"/>
      <c r="G50" s="10" t="n"/>
    </row>
    <row r="51">
      <c r="A51" s="9" t="n"/>
      <c r="B51" s="10" t="n"/>
      <c r="C51" s="10" t="n"/>
      <c r="D51" s="10" t="n"/>
      <c r="E51" s="10" t="n"/>
      <c r="F51" s="10" t="n"/>
      <c r="G51" s="10" t="n"/>
    </row>
    <row r="52">
      <c r="A52" s="9" t="n"/>
      <c r="B52" s="10" t="n"/>
      <c r="C52" s="10" t="n"/>
      <c r="D52" s="10" t="n"/>
      <c r="E52" s="10" t="n"/>
      <c r="F52" s="10" t="n"/>
      <c r="G52" s="10" t="n"/>
    </row>
    <row r="53">
      <c r="A53" s="9" t="n"/>
      <c r="B53" s="10" t="n"/>
      <c r="C53" s="10" t="n"/>
      <c r="D53" s="10" t="n"/>
      <c r="E53" s="10" t="n"/>
      <c r="F53" s="10" t="n"/>
      <c r="G53" s="10" t="n"/>
    </row>
    <row r="54">
      <c r="A54" s="9" t="n"/>
      <c r="B54" s="10" t="n"/>
      <c r="C54" s="10" t="n"/>
      <c r="D54" s="10" t="n"/>
      <c r="E54" s="10" t="n"/>
      <c r="F54" s="10" t="n"/>
      <c r="G54" s="10" t="n"/>
    </row>
    <row r="55">
      <c r="A55" s="9" t="n"/>
      <c r="B55" s="10" t="n"/>
      <c r="C55" s="10" t="n"/>
      <c r="D55" s="10" t="n"/>
      <c r="E55" s="10" t="n"/>
      <c r="F55" s="10" t="n"/>
      <c r="G55" s="10" t="n"/>
    </row>
    <row r="56">
      <c r="A56" s="9" t="n"/>
      <c r="B56" s="10" t="n"/>
      <c r="C56" s="10" t="n"/>
      <c r="D56" s="10" t="n"/>
      <c r="E56" s="10" t="n"/>
      <c r="F56" s="10" t="n"/>
      <c r="G56" s="10" t="n"/>
    </row>
    <row r="57">
      <c r="A57" s="9" t="n"/>
      <c r="B57" s="10" t="n"/>
      <c r="C57" s="10" t="n"/>
      <c r="D57" s="10" t="n"/>
      <c r="E57" s="10" t="n"/>
      <c r="F57" s="10" t="n"/>
      <c r="G57" s="10" t="n"/>
    </row>
    <row r="58">
      <c r="A58" s="9" t="n"/>
      <c r="B58" s="10" t="n"/>
      <c r="C58" s="10" t="n"/>
      <c r="D58" s="10" t="n"/>
      <c r="E58" s="10" t="n"/>
      <c r="F58" s="10" t="n"/>
      <c r="G58" s="10" t="n"/>
    </row>
    <row r="59">
      <c r="A59" s="9" t="n"/>
      <c r="B59" s="10" t="n"/>
      <c r="C59" s="10" t="n"/>
      <c r="D59" s="10" t="n"/>
      <c r="E59" s="10" t="n"/>
      <c r="F59" s="10" t="n"/>
      <c r="G59" s="10" t="n"/>
    </row>
    <row r="60">
      <c r="A60" s="9" t="n"/>
      <c r="B60" s="10" t="n"/>
      <c r="C60" s="10" t="n"/>
      <c r="D60" s="10" t="n"/>
      <c r="E60" s="10" t="n"/>
      <c r="F60" s="10" t="n"/>
      <c r="G60" s="10" t="n"/>
    </row>
    <row r="61">
      <c r="A61" s="9" t="n"/>
      <c r="B61" s="10" t="n"/>
      <c r="C61" s="10" t="n"/>
      <c r="D61" s="10" t="n"/>
      <c r="E61" s="10" t="n"/>
      <c r="F61" s="10" t="n"/>
      <c r="G61" s="10" t="n"/>
    </row>
    <row r="62">
      <c r="A62" s="9" t="n"/>
      <c r="B62" s="10" t="n"/>
      <c r="C62" s="10" t="n"/>
      <c r="D62" s="10" t="n"/>
      <c r="E62" s="10" t="n"/>
      <c r="F62" s="10" t="n"/>
      <c r="G62" s="10" t="n"/>
    </row>
    <row r="63">
      <c r="A63" s="9" t="n"/>
      <c r="B63" s="10" t="n"/>
      <c r="C63" s="10" t="n"/>
      <c r="D63" s="10" t="n"/>
      <c r="E63" s="10" t="n"/>
      <c r="F63" s="10" t="n"/>
      <c r="G63" s="10" t="n"/>
    </row>
    <row r="64">
      <c r="A64" s="9" t="n"/>
      <c r="B64" s="10" t="n"/>
      <c r="C64" s="10" t="n"/>
      <c r="D64" s="10" t="n"/>
      <c r="E64" s="10" t="n"/>
      <c r="F64" s="10" t="n"/>
      <c r="G64" s="10" t="n"/>
    </row>
    <row r="65">
      <c r="A65" s="9" t="n"/>
      <c r="B65" s="10" t="n"/>
      <c r="C65" s="10" t="n"/>
      <c r="D65" s="10" t="n"/>
      <c r="E65" s="10" t="n"/>
      <c r="F65" s="10" t="n"/>
      <c r="G65" s="10" t="n"/>
    </row>
    <row r="66">
      <c r="A66" s="9" t="n"/>
      <c r="B66" s="10" t="n"/>
      <c r="C66" s="10" t="n"/>
      <c r="D66" s="10" t="n"/>
      <c r="E66" s="10" t="n"/>
      <c r="F66" s="10" t="n"/>
      <c r="G66" s="10" t="n"/>
    </row>
    <row r="67">
      <c r="A67" s="9" t="n"/>
      <c r="B67" s="10" t="n"/>
      <c r="C67" s="10" t="n"/>
      <c r="D67" s="10" t="n"/>
      <c r="E67" s="10" t="n"/>
      <c r="F67" s="10" t="n"/>
      <c r="G67" s="10" t="n"/>
    </row>
    <row r="68">
      <c r="A68" s="9" t="n"/>
      <c r="B68" s="10" t="n"/>
      <c r="C68" s="10" t="n"/>
      <c r="D68" s="10" t="n"/>
      <c r="E68" s="10" t="n"/>
      <c r="F68" s="10" t="n"/>
      <c r="G68" s="10" t="n"/>
    </row>
    <row r="69">
      <c r="A69" s="9" t="n"/>
      <c r="B69" s="10" t="n"/>
      <c r="C69" s="10" t="n"/>
      <c r="D69" s="10" t="n"/>
      <c r="E69" s="10" t="n"/>
      <c r="F69" s="10" t="n"/>
      <c r="G69" s="10" t="n"/>
    </row>
    <row r="70">
      <c r="A70" s="9" t="n"/>
      <c r="B70" s="10" t="n"/>
      <c r="C70" s="10" t="n"/>
      <c r="D70" s="10" t="n"/>
      <c r="E70" s="10" t="n"/>
      <c r="F70" s="10" t="n"/>
      <c r="G70" s="10" t="n"/>
    </row>
    <row r="71">
      <c r="A71" s="9" t="n"/>
      <c r="B71" s="10" t="n"/>
      <c r="C71" s="10" t="n"/>
      <c r="D71" s="10" t="n"/>
      <c r="E71" s="10" t="n"/>
      <c r="F71" s="10" t="n"/>
      <c r="G71" s="10" t="n"/>
    </row>
    <row r="72">
      <c r="A72" s="9" t="n"/>
      <c r="B72" s="10" t="n"/>
      <c r="C72" s="10" t="n"/>
      <c r="D72" s="10" t="n"/>
      <c r="E72" s="10" t="n"/>
      <c r="F72" s="10" t="n"/>
      <c r="G72" s="10" t="n"/>
    </row>
    <row r="73">
      <c r="A73" s="9" t="n"/>
      <c r="B73" s="10" t="n"/>
      <c r="C73" s="10" t="n"/>
      <c r="D73" s="10" t="n"/>
      <c r="E73" s="10" t="n"/>
      <c r="F73" s="10" t="n"/>
      <c r="G73" s="10" t="n"/>
    </row>
    <row r="74">
      <c r="A74" s="9" t="n"/>
      <c r="B74" s="10" t="n"/>
      <c r="C74" s="10" t="n"/>
      <c r="D74" s="10" t="n"/>
      <c r="E74" s="10" t="n"/>
      <c r="F74" s="10" t="n"/>
      <c r="G74" s="10" t="n"/>
    </row>
    <row r="75">
      <c r="A75" s="9" t="n"/>
      <c r="B75" s="10" t="n"/>
      <c r="C75" s="10" t="n"/>
      <c r="D75" s="10" t="n"/>
      <c r="E75" s="10" t="n"/>
      <c r="F75" s="10" t="n"/>
      <c r="G75" s="10" t="n"/>
    </row>
    <row r="76">
      <c r="A76" s="9" t="n"/>
      <c r="B76" s="10" t="n"/>
      <c r="C76" s="10" t="n"/>
      <c r="D76" s="10" t="n"/>
      <c r="E76" s="10" t="n"/>
      <c r="F76" s="10" t="n"/>
      <c r="G76" s="10" t="n"/>
    </row>
    <row r="77">
      <c r="A77" s="9" t="n"/>
      <c r="B77" s="10" t="n"/>
      <c r="C77" s="10" t="n"/>
      <c r="D77" s="10" t="n"/>
      <c r="E77" s="10" t="n"/>
      <c r="F77" s="10" t="n"/>
      <c r="G77" s="10" t="n"/>
    </row>
    <row r="78">
      <c r="A78" s="9" t="n"/>
      <c r="B78" s="10" t="n"/>
      <c r="C78" s="10" t="n"/>
      <c r="D78" s="10" t="n"/>
      <c r="E78" s="10" t="n"/>
      <c r="F78" s="10" t="n"/>
      <c r="G78" s="10" t="n"/>
    </row>
    <row r="79">
      <c r="A79" s="9" t="n"/>
      <c r="B79" s="10" t="n"/>
      <c r="C79" s="10" t="n"/>
      <c r="D79" s="10" t="n"/>
      <c r="E79" s="10" t="n"/>
      <c r="F79" s="10" t="n"/>
      <c r="G79" s="10" t="n"/>
    </row>
    <row r="80">
      <c r="A80" s="9" t="n"/>
      <c r="B80" s="10" t="n"/>
      <c r="C80" s="10" t="n"/>
      <c r="D80" s="10" t="n"/>
      <c r="E80" s="10" t="n"/>
      <c r="F80" s="10" t="n"/>
      <c r="G80" s="10" t="n"/>
    </row>
    <row r="81">
      <c r="A81" s="9" t="n"/>
      <c r="B81" s="10" t="n"/>
      <c r="C81" s="10" t="n"/>
      <c r="D81" s="10" t="n"/>
      <c r="E81" s="10" t="n"/>
      <c r="F81" s="10" t="n"/>
      <c r="G81" s="10" t="n"/>
    </row>
    <row r="82">
      <c r="A82" s="9" t="n"/>
      <c r="B82" s="10" t="n"/>
      <c r="C82" s="10" t="n"/>
      <c r="D82" s="10" t="n"/>
      <c r="E82" s="10" t="n"/>
      <c r="F82" s="10" t="n"/>
      <c r="G82" s="10" t="n"/>
    </row>
    <row r="83">
      <c r="A83" s="9" t="n"/>
      <c r="B83" s="10" t="n"/>
      <c r="C83" s="10" t="n"/>
      <c r="D83" s="10" t="n"/>
      <c r="E83" s="10" t="n"/>
      <c r="F83" s="10" t="n"/>
      <c r="G83" s="10" t="n"/>
    </row>
    <row r="84">
      <c r="A84" s="9" t="n"/>
      <c r="B84" s="10" t="n"/>
      <c r="C84" s="10" t="n"/>
      <c r="D84" s="10" t="n"/>
      <c r="E84" s="10" t="n"/>
      <c r="F84" s="10" t="n"/>
      <c r="G84" s="10" t="n"/>
    </row>
    <row r="85">
      <c r="A85" s="9" t="n"/>
      <c r="B85" s="10" t="n"/>
      <c r="C85" s="10" t="n"/>
      <c r="D85" s="10" t="n"/>
      <c r="E85" s="10" t="n"/>
      <c r="F85" s="10" t="n"/>
      <c r="G85" s="10" t="n"/>
    </row>
    <row r="86">
      <c r="A86" s="9" t="n"/>
      <c r="B86" s="10" t="n"/>
      <c r="C86" s="10" t="n"/>
      <c r="D86" s="10" t="n"/>
      <c r="E86" s="10" t="n"/>
      <c r="F86" s="10" t="n"/>
      <c r="G86" s="10" t="n"/>
    </row>
    <row r="87">
      <c r="A87" s="9" t="n"/>
      <c r="B87" s="10" t="n"/>
      <c r="C87" s="10" t="n"/>
      <c r="D87" s="10" t="n"/>
      <c r="E87" s="10" t="n"/>
      <c r="F87" s="10" t="n"/>
      <c r="G87" s="10" t="n"/>
    </row>
    <row r="88">
      <c r="A88" s="9" t="n"/>
      <c r="B88" s="10" t="n"/>
      <c r="C88" s="10" t="n"/>
      <c r="D88" s="10" t="n"/>
      <c r="E88" s="10" t="n"/>
      <c r="F88" s="10" t="n"/>
      <c r="G88" s="10" t="n"/>
    </row>
    <row r="89">
      <c r="A89" s="9" t="n"/>
      <c r="B89" s="10" t="n"/>
      <c r="C89" s="10" t="n"/>
      <c r="D89" s="10" t="n"/>
      <c r="E89" s="10" t="n"/>
      <c r="F89" s="10" t="n"/>
      <c r="G89" s="10" t="n"/>
    </row>
    <row r="90">
      <c r="A90" s="9" t="n"/>
      <c r="B90" s="10" t="n"/>
      <c r="C90" s="10" t="n"/>
      <c r="D90" s="10" t="n"/>
      <c r="E90" s="10" t="n"/>
      <c r="F90" s="10" t="n"/>
      <c r="G90" s="10" t="n"/>
    </row>
    <row r="91">
      <c r="A91" s="9" t="n"/>
      <c r="B91" s="10" t="n"/>
      <c r="C91" s="10" t="n"/>
      <c r="D91" s="10" t="n"/>
      <c r="E91" s="10" t="n"/>
      <c r="F91" s="10" t="n"/>
      <c r="G91" s="10" t="n"/>
    </row>
    <row r="92">
      <c r="A92" s="9" t="n"/>
      <c r="B92" s="10" t="n"/>
      <c r="C92" s="10" t="n"/>
      <c r="D92" s="10" t="n"/>
      <c r="E92" s="10" t="n"/>
      <c r="F92" s="10" t="n"/>
      <c r="G92" s="10" t="n"/>
    </row>
    <row r="93">
      <c r="A93" s="9" t="n"/>
      <c r="B93" s="10" t="n"/>
      <c r="C93" s="10" t="n"/>
      <c r="D93" s="10" t="n"/>
      <c r="E93" s="10" t="n"/>
      <c r="F93" s="10" t="n"/>
      <c r="G93" s="10" t="n"/>
    </row>
    <row r="94">
      <c r="A94" s="9" t="n"/>
      <c r="B94" s="10" t="n"/>
      <c r="C94" s="10" t="n"/>
      <c r="D94" s="10" t="n"/>
      <c r="E94" s="10" t="n"/>
      <c r="F94" s="10" t="n"/>
      <c r="G94" s="10" t="n"/>
    </row>
    <row r="95">
      <c r="A95" s="9" t="n"/>
      <c r="B95" s="10" t="n"/>
      <c r="C95" s="10" t="n"/>
      <c r="D95" s="10" t="n"/>
      <c r="E95" s="10" t="n"/>
      <c r="F95" s="10" t="n"/>
      <c r="G95" s="10" t="n"/>
    </row>
    <row r="96">
      <c r="A96" s="9" t="n"/>
      <c r="B96" s="10" t="n"/>
      <c r="C96" s="10" t="n"/>
      <c r="D96" s="10" t="n"/>
      <c r="E96" s="10" t="n"/>
      <c r="F96" s="10" t="n"/>
      <c r="G96" s="10" t="n"/>
    </row>
    <row r="97">
      <c r="A97" s="9" t="n"/>
      <c r="B97" s="10" t="n"/>
      <c r="C97" s="10" t="n"/>
      <c r="D97" s="10" t="n"/>
      <c r="E97" s="10" t="n"/>
      <c r="F97" s="10" t="n"/>
      <c r="G97" s="10" t="n"/>
    </row>
    <row r="98">
      <c r="A98" s="9" t="n"/>
      <c r="B98" s="10" t="n"/>
      <c r="C98" s="10" t="n"/>
      <c r="D98" s="10" t="n"/>
      <c r="E98" s="10" t="n"/>
      <c r="F98" s="10" t="n"/>
      <c r="G98" s="10" t="n"/>
    </row>
    <row r="99">
      <c r="A99" s="9" t="n"/>
      <c r="B99" s="10" t="n"/>
      <c r="C99" s="10" t="n"/>
      <c r="D99" s="10" t="n"/>
      <c r="E99" s="10" t="n"/>
      <c r="F99" s="10" t="n"/>
      <c r="G99" s="10" t="n"/>
    </row>
    <row r="100">
      <c r="A100" s="9" t="n"/>
      <c r="B100" s="10" t="n"/>
      <c r="C100" s="10" t="n"/>
      <c r="D100" s="10" t="n"/>
      <c r="E100" s="10" t="n"/>
      <c r="F100" s="10" t="n"/>
      <c r="G100" s="10" t="n"/>
    </row>
    <row r="101">
      <c r="A101" s="9" t="n"/>
      <c r="B101" s="10" t="n"/>
      <c r="C101" s="10" t="n"/>
      <c r="D101" s="10" t="n"/>
      <c r="E101" s="10" t="n"/>
      <c r="F101" s="10" t="n"/>
      <c r="G101" s="10" t="n"/>
    </row>
    <row r="102">
      <c r="A102" s="9" t="n"/>
      <c r="B102" s="10" t="n"/>
      <c r="C102" s="10" t="n"/>
      <c r="D102" s="10" t="n"/>
      <c r="E102" s="10" t="n"/>
      <c r="F102" s="10" t="n"/>
      <c r="G102" s="10" t="n"/>
    </row>
    <row r="103">
      <c r="A103" s="9" t="n"/>
      <c r="B103" s="10" t="n"/>
      <c r="C103" s="10" t="n"/>
      <c r="D103" s="10" t="n"/>
      <c r="E103" s="10" t="n"/>
      <c r="F103" s="10" t="n"/>
      <c r="G103" s="10" t="n"/>
    </row>
    <row r="104">
      <c r="A104" s="9" t="n"/>
      <c r="B104" s="10" t="n"/>
      <c r="C104" s="10" t="n"/>
      <c r="D104" s="10" t="n"/>
      <c r="E104" s="10" t="n"/>
      <c r="F104" s="10" t="n"/>
      <c r="G104" s="10" t="n"/>
    </row>
    <row r="105">
      <c r="A105" s="9" t="n"/>
      <c r="B105" s="10" t="n"/>
      <c r="C105" s="10" t="n"/>
      <c r="D105" s="10" t="n"/>
      <c r="E105" s="10" t="n"/>
      <c r="F105" s="10" t="n"/>
      <c r="G105" s="10" t="n"/>
    </row>
    <row r="106">
      <c r="A106" s="9" t="n"/>
      <c r="B106" s="10" t="n"/>
      <c r="C106" s="10" t="n"/>
      <c r="D106" s="10" t="n"/>
      <c r="E106" s="10" t="n"/>
      <c r="F106" s="10" t="n"/>
      <c r="G106" s="10" t="n"/>
    </row>
    <row r="107">
      <c r="A107" s="9" t="n"/>
      <c r="B107" s="10" t="n"/>
      <c r="C107" s="10" t="n"/>
      <c r="D107" s="10" t="n"/>
      <c r="E107" s="10" t="n"/>
      <c r="F107" s="10" t="n"/>
      <c r="G107" s="10" t="n"/>
    </row>
    <row r="108">
      <c r="A108" s="9" t="n"/>
      <c r="B108" s="10" t="n"/>
      <c r="C108" s="10" t="n"/>
      <c r="D108" s="10" t="n"/>
      <c r="E108" s="10" t="n"/>
      <c r="F108" s="10" t="n"/>
      <c r="G108" s="10" t="n"/>
    </row>
    <row r="109">
      <c r="A109" s="9" t="n"/>
      <c r="B109" s="10" t="n"/>
      <c r="C109" s="10" t="n"/>
      <c r="D109" s="10" t="n"/>
      <c r="E109" s="10" t="n"/>
      <c r="F109" s="10" t="n"/>
      <c r="G109" s="10" t="n"/>
    </row>
    <row r="110">
      <c r="A110" s="9" t="n"/>
      <c r="B110" s="10" t="n"/>
      <c r="C110" s="10" t="n"/>
      <c r="D110" s="10" t="n"/>
      <c r="E110" s="10" t="n"/>
      <c r="F110" s="10" t="n"/>
      <c r="G110" s="10" t="n"/>
    </row>
    <row r="111">
      <c r="A111" s="9" t="n"/>
      <c r="B111" s="10" t="n"/>
      <c r="C111" s="10" t="n"/>
      <c r="D111" s="10" t="n"/>
      <c r="E111" s="10" t="n"/>
      <c r="F111" s="10" t="n"/>
      <c r="G111" s="10" t="n"/>
    </row>
    <row r="112">
      <c r="A112" s="9" t="n"/>
      <c r="B112" s="10" t="n"/>
      <c r="C112" s="10" t="n"/>
      <c r="D112" s="10" t="n"/>
      <c r="E112" s="10" t="n"/>
      <c r="F112" s="10" t="n"/>
      <c r="G112" s="10" t="n"/>
    </row>
    <row r="113">
      <c r="A113" s="9" t="n"/>
      <c r="B113" s="10" t="n"/>
      <c r="C113" s="10" t="n"/>
      <c r="D113" s="10" t="n"/>
      <c r="E113" s="10" t="n"/>
      <c r="F113" s="10" t="n"/>
      <c r="G113" s="10" t="n"/>
    </row>
    <row r="114">
      <c r="A114" s="9" t="n"/>
      <c r="B114" s="10" t="n"/>
      <c r="C114" s="10" t="n"/>
      <c r="D114" s="10" t="n"/>
      <c r="E114" s="10" t="n"/>
      <c r="F114" s="10" t="n"/>
      <c r="G114" s="10" t="n"/>
    </row>
    <row r="115">
      <c r="A115" s="9" t="n"/>
      <c r="B115" s="10" t="n"/>
      <c r="C115" s="10" t="n"/>
      <c r="D115" s="10" t="n"/>
      <c r="E115" s="10" t="n"/>
      <c r="F115" s="10" t="n"/>
      <c r="G115" s="10" t="n"/>
    </row>
    <row r="116">
      <c r="A116" s="9" t="n"/>
      <c r="B116" s="10" t="n"/>
      <c r="C116" s="10" t="n"/>
      <c r="D116" s="10" t="n"/>
      <c r="E116" s="10" t="n"/>
      <c r="F116" s="10" t="n"/>
      <c r="G116" s="10" t="n"/>
    </row>
    <row r="117">
      <c r="A117" s="9" t="n"/>
      <c r="B117" s="10" t="n"/>
      <c r="C117" s="10" t="n"/>
      <c r="D117" s="10" t="n"/>
      <c r="E117" s="10" t="n"/>
      <c r="F117" s="10" t="n"/>
      <c r="G117" s="10" t="n"/>
    </row>
    <row r="118">
      <c r="A118" s="9" t="n"/>
      <c r="B118" s="10" t="n"/>
      <c r="C118" s="10" t="n"/>
      <c r="D118" s="10" t="n"/>
      <c r="E118" s="10" t="n"/>
      <c r="F118" s="10" t="n"/>
      <c r="G118" s="10" t="n"/>
    </row>
    <row r="119">
      <c r="A119" s="9" t="n"/>
      <c r="B119" s="10" t="n"/>
      <c r="C119" s="10" t="n"/>
      <c r="D119" s="10" t="n"/>
      <c r="E119" s="10" t="n"/>
      <c r="F119" s="10" t="n"/>
      <c r="G119" s="10" t="n"/>
    </row>
    <row r="120">
      <c r="A120" s="9" t="n"/>
      <c r="B120" s="10" t="n"/>
      <c r="C120" s="10" t="n"/>
      <c r="D120" s="10" t="n"/>
      <c r="E120" s="10" t="n"/>
      <c r="F120" s="10" t="n"/>
      <c r="G120" s="10" t="n"/>
    </row>
    <row r="121">
      <c r="A121" s="9" t="n"/>
      <c r="B121" s="10" t="n"/>
      <c r="C121" s="10" t="n"/>
      <c r="D121" s="10" t="n"/>
      <c r="E121" s="10" t="n"/>
      <c r="F121" s="10" t="n"/>
      <c r="G121" s="10" t="n"/>
    </row>
    <row r="122">
      <c r="A122" s="9" t="n"/>
      <c r="B122" s="10" t="n"/>
      <c r="C122" s="10" t="n"/>
      <c r="D122" s="10" t="n"/>
      <c r="E122" s="10" t="n"/>
      <c r="F122" s="10" t="n"/>
      <c r="G122" s="10" t="n"/>
    </row>
    <row r="123">
      <c r="A123" s="9" t="n"/>
      <c r="B123" s="10" t="n"/>
      <c r="C123" s="10" t="n"/>
      <c r="D123" s="10" t="n"/>
      <c r="E123" s="10" t="n"/>
      <c r="F123" s="10" t="n"/>
      <c r="G123" s="10" t="n"/>
    </row>
    <row r="124">
      <c r="A124" s="9" t="n"/>
      <c r="B124" s="10" t="n"/>
      <c r="C124" s="10" t="n"/>
      <c r="D124" s="10" t="n"/>
      <c r="E124" s="10" t="n"/>
      <c r="F124" s="10" t="n"/>
      <c r="G124" s="10" t="n"/>
    </row>
    <row r="125">
      <c r="A125" s="9" t="n"/>
      <c r="B125" s="10" t="n"/>
      <c r="C125" s="10" t="n"/>
      <c r="D125" s="10" t="n"/>
      <c r="E125" s="10" t="n"/>
      <c r="F125" s="10" t="n"/>
      <c r="G125" s="10" t="n"/>
    </row>
    <row r="126">
      <c r="A126" s="9" t="n"/>
      <c r="B126" s="10" t="n"/>
      <c r="C126" s="10" t="n"/>
      <c r="D126" s="10" t="n"/>
      <c r="E126" s="10" t="n"/>
      <c r="F126" s="10" t="n"/>
      <c r="G126" s="10" t="n"/>
    </row>
    <row r="127">
      <c r="A127" s="9" t="n"/>
      <c r="B127" s="10" t="n"/>
      <c r="C127" s="10" t="n"/>
      <c r="D127" s="10" t="n"/>
      <c r="E127" s="10" t="n"/>
      <c r="F127" s="10" t="n"/>
      <c r="G127" s="10" t="n"/>
    </row>
    <row r="128">
      <c r="A128" s="9" t="n"/>
      <c r="B128" s="10" t="n"/>
      <c r="C128" s="10" t="n"/>
      <c r="D128" s="10" t="n"/>
      <c r="E128" s="10" t="n"/>
      <c r="F128" s="10" t="n"/>
      <c r="G128" s="10" t="n"/>
    </row>
    <row r="129">
      <c r="A129" s="9" t="n"/>
      <c r="B129" s="10" t="n"/>
      <c r="C129" s="10" t="n"/>
      <c r="D129" s="10" t="n"/>
      <c r="E129" s="10" t="n"/>
      <c r="F129" s="10" t="n"/>
      <c r="G129" s="10" t="n"/>
    </row>
    <row r="130">
      <c r="A130" s="9" t="n"/>
      <c r="B130" s="10" t="n"/>
      <c r="C130" s="10" t="n"/>
      <c r="D130" s="10" t="n"/>
      <c r="E130" s="10" t="n"/>
      <c r="F130" s="10" t="n"/>
      <c r="G130" s="10" t="n"/>
    </row>
    <row r="131">
      <c r="A131" s="9" t="n"/>
      <c r="B131" s="10" t="n"/>
      <c r="C131" s="10" t="n"/>
      <c r="D131" s="10" t="n"/>
      <c r="E131" s="10" t="n"/>
      <c r="F131" s="10" t="n"/>
      <c r="G131" s="10" t="n"/>
    </row>
    <row r="132">
      <c r="A132" s="9" t="n"/>
      <c r="B132" s="10" t="n"/>
      <c r="C132" s="10" t="n"/>
      <c r="D132" s="10" t="n"/>
      <c r="E132" s="10" t="n"/>
      <c r="F132" s="10" t="n"/>
      <c r="G132" s="10" t="n"/>
    </row>
    <row r="133">
      <c r="A133" s="9" t="n"/>
      <c r="B133" s="10" t="n"/>
      <c r="C133" s="10" t="n"/>
      <c r="D133" s="10" t="n"/>
      <c r="E133" s="10" t="n"/>
      <c r="F133" s="10" t="n"/>
      <c r="G133" s="10" t="n"/>
    </row>
    <row r="134">
      <c r="A134" s="9" t="n"/>
      <c r="B134" s="10" t="n"/>
      <c r="C134" s="10" t="n"/>
      <c r="D134" s="10" t="n"/>
      <c r="E134" s="10" t="n"/>
      <c r="F134" s="10" t="n"/>
      <c r="G134" s="10" t="n"/>
    </row>
    <row r="135">
      <c r="A135" s="9" t="n"/>
      <c r="B135" s="10" t="n"/>
      <c r="C135" s="10" t="n"/>
      <c r="D135" s="10" t="n"/>
      <c r="E135" s="10" t="n"/>
      <c r="F135" s="10" t="n"/>
      <c r="G135" s="10" t="n"/>
    </row>
    <row r="136">
      <c r="A136" s="9" t="n"/>
      <c r="B136" s="10" t="n"/>
      <c r="C136" s="10" t="n"/>
      <c r="D136" s="10" t="n"/>
      <c r="E136" s="10" t="n"/>
      <c r="F136" s="10" t="n"/>
      <c r="G136" s="10" t="n"/>
    </row>
    <row r="137">
      <c r="A137" s="9" t="n"/>
      <c r="B137" s="10" t="n"/>
      <c r="C137" s="10" t="n"/>
      <c r="D137" s="10" t="n"/>
      <c r="E137" s="10" t="n"/>
      <c r="F137" s="10" t="n"/>
      <c r="G137" s="10" t="n"/>
    </row>
    <row r="138">
      <c r="A138" s="9" t="n"/>
      <c r="B138" s="10" t="n"/>
      <c r="C138" s="10" t="n"/>
      <c r="D138" s="10" t="n"/>
      <c r="E138" s="10" t="n"/>
      <c r="F138" s="10" t="n"/>
      <c r="G138" s="10" t="n"/>
    </row>
    <row r="139">
      <c r="A139" s="9" t="n"/>
      <c r="B139" s="10" t="n"/>
      <c r="C139" s="10" t="n"/>
      <c r="D139" s="10" t="n"/>
      <c r="E139" s="10" t="n"/>
      <c r="F139" s="10" t="n"/>
      <c r="G139" s="10" t="n"/>
    </row>
    <row r="140">
      <c r="A140" s="9" t="n"/>
      <c r="B140" s="10" t="n"/>
      <c r="C140" s="10" t="n"/>
      <c r="D140" s="10" t="n"/>
      <c r="E140" s="10" t="n"/>
      <c r="F140" s="10" t="n"/>
      <c r="G140" s="10" t="n"/>
    </row>
    <row r="141">
      <c r="A141" s="9" t="n"/>
      <c r="B141" s="10" t="n"/>
      <c r="C141" s="10" t="n"/>
      <c r="D141" s="10" t="n"/>
      <c r="E141" s="10" t="n"/>
      <c r="F141" s="10" t="n"/>
      <c r="G141" s="10" t="n"/>
    </row>
    <row r="142">
      <c r="A142" s="9" t="n"/>
      <c r="B142" s="10" t="n"/>
      <c r="C142" s="10" t="n"/>
      <c r="D142" s="10" t="n"/>
      <c r="E142" s="10" t="n"/>
      <c r="F142" s="10" t="n"/>
      <c r="G142" s="10" t="n"/>
    </row>
    <row r="143">
      <c r="A143" s="9" t="n"/>
      <c r="B143" s="10" t="n"/>
      <c r="C143" s="10" t="n"/>
      <c r="D143" s="10" t="n"/>
      <c r="E143" s="10" t="n"/>
      <c r="F143" s="10" t="n"/>
      <c r="G143" s="10" t="n"/>
    </row>
    <row r="144">
      <c r="A144" s="9" t="n"/>
      <c r="B144" s="10" t="n"/>
      <c r="C144" s="10" t="n"/>
      <c r="D144" s="10" t="n"/>
      <c r="E144" s="10" t="n"/>
      <c r="F144" s="10" t="n"/>
      <c r="G144" s="10" t="n"/>
    </row>
    <row r="145">
      <c r="A145" s="9" t="n"/>
      <c r="B145" s="10" t="n"/>
      <c r="C145" s="10" t="n"/>
      <c r="D145" s="10" t="n"/>
      <c r="E145" s="10" t="n"/>
      <c r="F145" s="10" t="n"/>
      <c r="G145" s="10" t="n"/>
    </row>
    <row r="146">
      <c r="A146" s="9" t="n"/>
      <c r="B146" s="10" t="n"/>
      <c r="C146" s="10" t="n"/>
      <c r="D146" s="10" t="n"/>
      <c r="E146" s="10" t="n"/>
      <c r="F146" s="10" t="n"/>
      <c r="G146" s="10" t="n"/>
    </row>
    <row r="147">
      <c r="A147" s="9" t="n"/>
      <c r="B147" s="10" t="n"/>
      <c r="C147" s="10" t="n"/>
      <c r="D147" s="10" t="n"/>
      <c r="E147" s="10" t="n"/>
      <c r="F147" s="10" t="n"/>
      <c r="G147" s="10" t="n"/>
    </row>
    <row r="148">
      <c r="A148" s="9" t="n"/>
      <c r="B148" s="10" t="n"/>
      <c r="C148" s="10" t="n"/>
      <c r="D148" s="10" t="n"/>
      <c r="E148" s="10" t="n"/>
      <c r="F148" s="10" t="n"/>
      <c r="G148" s="10" t="n"/>
    </row>
    <row r="149">
      <c r="A149" s="9" t="n"/>
      <c r="B149" s="10" t="n"/>
      <c r="C149" s="10" t="n"/>
      <c r="D149" s="10" t="n"/>
      <c r="E149" s="10" t="n"/>
      <c r="F149" s="10" t="n"/>
      <c r="G149" s="10" t="n"/>
    </row>
    <row r="150">
      <c r="A150" s="9" t="n"/>
      <c r="B150" s="10" t="n"/>
      <c r="C150" s="10" t="n"/>
      <c r="D150" s="10" t="n"/>
      <c r="E150" s="10" t="n"/>
      <c r="F150" s="10" t="n"/>
      <c r="G150" s="10" t="n"/>
    </row>
    <row r="151">
      <c r="A151" s="9" t="n"/>
      <c r="B151" s="10" t="n"/>
      <c r="C151" s="10" t="n"/>
      <c r="D151" s="10" t="n"/>
      <c r="E151" s="10" t="n"/>
      <c r="F151" s="10" t="n"/>
      <c r="G151" s="10" t="n"/>
    </row>
    <row r="152">
      <c r="A152" s="9" t="n"/>
      <c r="B152" s="10" t="n"/>
      <c r="C152" s="10" t="n"/>
      <c r="D152" s="10" t="n"/>
      <c r="E152" s="10" t="n"/>
      <c r="F152" s="10" t="n"/>
      <c r="G152" s="10" t="n"/>
    </row>
    <row r="153">
      <c r="A153" s="9" t="n"/>
      <c r="B153" s="10" t="n"/>
      <c r="C153" s="10" t="n"/>
      <c r="D153" s="10" t="n"/>
      <c r="E153" s="10" t="n"/>
      <c r="F153" s="10" t="n"/>
      <c r="G153" s="10" t="n"/>
    </row>
    <row r="154">
      <c r="A154" s="9" t="n"/>
      <c r="B154" s="10" t="n"/>
      <c r="C154" s="10" t="n"/>
      <c r="D154" s="10" t="n"/>
      <c r="E154" s="10" t="n"/>
      <c r="F154" s="10" t="n"/>
      <c r="G154" s="10" t="n"/>
    </row>
    <row r="155">
      <c r="A155" s="9" t="n"/>
      <c r="B155" s="10" t="n"/>
      <c r="C155" s="10" t="n"/>
      <c r="D155" s="10" t="n"/>
      <c r="E155" s="10" t="n"/>
      <c r="F155" s="10" t="n"/>
      <c r="G155" s="10" t="n"/>
    </row>
    <row r="156">
      <c r="A156" s="9" t="n"/>
      <c r="B156" s="10" t="n"/>
      <c r="C156" s="10" t="n"/>
      <c r="D156" s="10" t="n"/>
      <c r="E156" s="10" t="n"/>
      <c r="F156" s="10" t="n"/>
      <c r="G156" s="10" t="n"/>
    </row>
    <row r="157">
      <c r="A157" s="9" t="n"/>
      <c r="B157" s="10" t="n"/>
      <c r="C157" s="10" t="n"/>
      <c r="D157" s="10" t="n"/>
      <c r="E157" s="10" t="n"/>
      <c r="F157" s="10" t="n"/>
      <c r="G157" s="10" t="n"/>
    </row>
    <row r="158">
      <c r="A158" s="9" t="n"/>
      <c r="B158" s="10" t="n"/>
      <c r="C158" s="10" t="n"/>
      <c r="D158" s="10" t="n"/>
      <c r="E158" s="10" t="n"/>
      <c r="F158" s="10" t="n"/>
      <c r="G158" s="10" t="n"/>
    </row>
    <row r="159">
      <c r="A159" s="9" t="n"/>
      <c r="B159" s="10" t="n"/>
      <c r="C159" s="10" t="n"/>
      <c r="D159" s="10" t="n"/>
      <c r="E159" s="10" t="n"/>
      <c r="F159" s="10" t="n"/>
      <c r="G159" s="10" t="n"/>
    </row>
    <row r="160">
      <c r="A160" s="9" t="n"/>
      <c r="B160" s="10" t="n"/>
      <c r="C160" s="10" t="n"/>
      <c r="D160" s="10" t="n"/>
      <c r="E160" s="10" t="n"/>
      <c r="F160" s="10" t="n"/>
      <c r="G160" s="10" t="n"/>
    </row>
    <row r="161">
      <c r="A161" s="9" t="n"/>
      <c r="B161" s="10" t="n"/>
      <c r="C161" s="10" t="n"/>
      <c r="D161" s="10" t="n"/>
      <c r="E161" s="10" t="n"/>
      <c r="F161" s="10" t="n"/>
      <c r="G161" s="10" t="n"/>
    </row>
    <row r="162">
      <c r="A162" s="9" t="n"/>
      <c r="B162" s="10" t="n"/>
      <c r="C162" s="10" t="n"/>
      <c r="D162" s="10" t="n"/>
      <c r="E162" s="10" t="n"/>
      <c r="F162" s="10" t="n"/>
      <c r="G162" s="10" t="n"/>
    </row>
    <row r="163">
      <c r="A163" s="9" t="n"/>
      <c r="B163" s="10" t="n"/>
      <c r="C163" s="10" t="n"/>
      <c r="D163" s="10" t="n"/>
      <c r="E163" s="10" t="n"/>
      <c r="F163" s="10" t="n"/>
      <c r="G163" s="10" t="n"/>
    </row>
    <row r="164">
      <c r="A164" s="9" t="n"/>
      <c r="B164" s="10" t="n"/>
      <c r="C164" s="10" t="n"/>
      <c r="D164" s="10" t="n"/>
      <c r="E164" s="10" t="n"/>
      <c r="F164" s="10" t="n"/>
      <c r="G164" s="10" t="n"/>
    </row>
    <row r="165">
      <c r="A165" s="9" t="n"/>
      <c r="B165" s="10" t="n"/>
      <c r="C165" s="10" t="n"/>
      <c r="D165" s="10" t="n"/>
      <c r="E165" s="10" t="n"/>
      <c r="F165" s="10" t="n"/>
      <c r="G165" s="10" t="n"/>
    </row>
    <row r="166">
      <c r="A166" s="9" t="n"/>
      <c r="B166" s="10" t="n"/>
      <c r="C166" s="10" t="n"/>
      <c r="D166" s="10" t="n"/>
      <c r="E166" s="10" t="n"/>
      <c r="F166" s="10" t="n"/>
      <c r="G166" s="10" t="n"/>
    </row>
    <row r="167">
      <c r="A167" s="9" t="n"/>
      <c r="B167" s="10" t="n"/>
      <c r="C167" s="10" t="n"/>
      <c r="D167" s="10" t="n"/>
      <c r="E167" s="10" t="n"/>
      <c r="F167" s="10" t="n"/>
      <c r="G167" s="10" t="n"/>
    </row>
    <row r="168">
      <c r="A168" s="9" t="n"/>
      <c r="B168" s="10" t="n"/>
      <c r="C168" s="10" t="n"/>
      <c r="D168" s="10" t="n"/>
      <c r="E168" s="10" t="n"/>
      <c r="F168" s="10" t="n"/>
      <c r="G168" s="10" t="n"/>
    </row>
    <row r="169">
      <c r="A169" s="9" t="n"/>
      <c r="B169" s="10" t="n"/>
      <c r="C169" s="10" t="n"/>
      <c r="D169" s="10" t="n"/>
      <c r="E169" s="10" t="n"/>
      <c r="F169" s="10" t="n"/>
      <c r="G169" s="10" t="n"/>
    </row>
    <row r="170">
      <c r="A170" s="9" t="n"/>
      <c r="B170" s="10" t="n"/>
      <c r="C170" s="10" t="n"/>
      <c r="D170" s="10" t="n"/>
      <c r="E170" s="10" t="n"/>
      <c r="F170" s="10" t="n"/>
      <c r="G170" s="10" t="n"/>
    </row>
    <row r="171">
      <c r="A171" s="9" t="n"/>
      <c r="B171" s="10" t="n"/>
      <c r="C171" s="10" t="n"/>
      <c r="D171" s="10" t="n"/>
      <c r="E171" s="10" t="n"/>
      <c r="F171" s="10" t="n"/>
      <c r="G171" s="10" t="n"/>
    </row>
    <row r="172">
      <c r="A172" s="9" t="n"/>
      <c r="B172" s="10" t="n"/>
      <c r="C172" s="10" t="n"/>
      <c r="D172" s="10" t="n"/>
      <c r="E172" s="10" t="n"/>
      <c r="F172" s="10" t="n"/>
      <c r="G172" s="10" t="n"/>
    </row>
    <row r="173">
      <c r="A173" s="9" t="n"/>
      <c r="B173" s="10" t="n"/>
      <c r="C173" s="10" t="n"/>
      <c r="D173" s="10" t="n"/>
      <c r="E173" s="10" t="n"/>
      <c r="F173" s="10" t="n"/>
      <c r="G173" s="10" t="n"/>
    </row>
    <row r="174">
      <c r="A174" s="9" t="n"/>
      <c r="B174" s="10" t="n"/>
      <c r="C174" s="10" t="n"/>
      <c r="D174" s="10" t="n"/>
      <c r="E174" s="10" t="n"/>
      <c r="F174" s="10" t="n"/>
      <c r="G174" s="10" t="n"/>
    </row>
    <row r="175">
      <c r="A175" s="9" t="n"/>
      <c r="B175" s="10" t="n"/>
      <c r="C175" s="10" t="n"/>
      <c r="D175" s="10" t="n"/>
      <c r="E175" s="10" t="n"/>
      <c r="F175" s="10" t="n"/>
      <c r="G175" s="10" t="n"/>
    </row>
    <row r="176">
      <c r="A176" s="9" t="n"/>
      <c r="B176" s="10" t="n"/>
      <c r="C176" s="10" t="n"/>
      <c r="D176" s="10" t="n"/>
      <c r="E176" s="10" t="n"/>
      <c r="F176" s="10" t="n"/>
      <c r="G176" s="10" t="n"/>
    </row>
    <row r="177">
      <c r="A177" s="9" t="n"/>
      <c r="B177" s="10" t="n"/>
      <c r="C177" s="10" t="n"/>
      <c r="D177" s="10" t="n"/>
      <c r="E177" s="10" t="n"/>
      <c r="F177" s="10" t="n"/>
      <c r="G177" s="10" t="n"/>
    </row>
    <row r="178">
      <c r="A178" s="9" t="n"/>
      <c r="B178" s="10" t="n"/>
      <c r="C178" s="10" t="n"/>
      <c r="D178" s="10" t="n"/>
      <c r="E178" s="10" t="n"/>
      <c r="F178" s="10" t="n"/>
      <c r="G178" s="10" t="n"/>
    </row>
    <row r="179">
      <c r="A179" s="9" t="n"/>
      <c r="B179" s="10" t="n"/>
      <c r="C179" s="10" t="n"/>
      <c r="D179" s="10" t="n"/>
      <c r="E179" s="10" t="n"/>
      <c r="F179" s="10" t="n"/>
      <c r="G179" s="10" t="n"/>
    </row>
    <row r="180">
      <c r="A180" s="9" t="n"/>
      <c r="B180" s="10" t="n"/>
      <c r="C180" s="10" t="n"/>
      <c r="D180" s="10" t="n"/>
      <c r="E180" s="10" t="n"/>
      <c r="F180" s="10" t="n"/>
      <c r="G180" s="10" t="n"/>
    </row>
    <row r="181">
      <c r="A181" s="9" t="n"/>
      <c r="B181" s="10" t="n"/>
      <c r="C181" s="10" t="n"/>
      <c r="D181" s="10" t="n"/>
      <c r="E181" s="10" t="n"/>
      <c r="F181" s="10" t="n"/>
      <c r="G181" s="10" t="n"/>
    </row>
    <row r="182">
      <c r="A182" s="9" t="n"/>
      <c r="B182" s="10" t="n"/>
      <c r="C182" s="10" t="n"/>
      <c r="D182" s="10" t="n"/>
      <c r="E182" s="10" t="n"/>
      <c r="F182" s="10" t="n"/>
      <c r="G182" s="10" t="n"/>
    </row>
    <row r="183">
      <c r="A183" s="9" t="n"/>
      <c r="B183" s="10" t="n"/>
      <c r="C183" s="10" t="n"/>
      <c r="D183" s="10" t="n"/>
      <c r="E183" s="10" t="n"/>
      <c r="F183" s="10" t="n"/>
      <c r="G183" s="10" t="n"/>
    </row>
    <row r="184">
      <c r="A184" s="9" t="n"/>
      <c r="B184" s="10" t="n"/>
      <c r="C184" s="10" t="n"/>
      <c r="D184" s="10" t="n"/>
      <c r="E184" s="10" t="n"/>
      <c r="F184" s="10" t="n"/>
      <c r="G184" s="10" t="n"/>
    </row>
    <row r="185">
      <c r="A185" s="9" t="n"/>
      <c r="B185" s="10" t="n"/>
      <c r="C185" s="10" t="n"/>
      <c r="D185" s="10" t="n"/>
      <c r="E185" s="10" t="n"/>
      <c r="F185" s="10" t="n"/>
      <c r="G185" s="10" t="n"/>
    </row>
    <row r="186">
      <c r="A186" s="9" t="n"/>
      <c r="B186" s="10" t="n"/>
      <c r="C186" s="10" t="n"/>
      <c r="D186" s="10" t="n"/>
      <c r="E186" s="10" t="n"/>
      <c r="F186" s="10" t="n"/>
      <c r="G186" s="10" t="n"/>
    </row>
    <row r="187">
      <c r="A187" s="9" t="n"/>
      <c r="B187" s="10" t="n"/>
      <c r="C187" s="10" t="n"/>
      <c r="D187" s="10" t="n"/>
      <c r="E187" s="10" t="n"/>
      <c r="F187" s="10" t="n"/>
      <c r="G187" s="10" t="n"/>
    </row>
    <row r="188">
      <c r="A188" s="9" t="n"/>
      <c r="B188" s="10" t="n"/>
      <c r="C188" s="10" t="n"/>
      <c r="D188" s="10" t="n"/>
      <c r="E188" s="10" t="n"/>
      <c r="F188" s="10" t="n"/>
      <c r="G188" s="10" t="n"/>
    </row>
    <row r="189">
      <c r="A189" s="9" t="n"/>
      <c r="B189" s="10" t="n"/>
      <c r="C189" s="10" t="n"/>
      <c r="D189" s="10" t="n"/>
      <c r="E189" s="10" t="n"/>
      <c r="F189" s="10" t="n"/>
      <c r="G189" s="10" t="n"/>
    </row>
    <row r="190">
      <c r="A190" s="9" t="n"/>
      <c r="B190" s="10" t="n"/>
      <c r="C190" s="10" t="n"/>
      <c r="D190" s="10" t="n"/>
      <c r="E190" s="10" t="n"/>
      <c r="F190" s="10" t="n"/>
      <c r="G190" s="10" t="n"/>
    </row>
    <row r="191">
      <c r="A191" s="9" t="n"/>
      <c r="B191" s="10" t="n"/>
      <c r="C191" s="10" t="n"/>
      <c r="D191" s="10" t="n"/>
      <c r="E191" s="10" t="n"/>
      <c r="F191" s="10" t="n"/>
      <c r="G191" s="10" t="n"/>
    </row>
    <row r="192">
      <c r="A192" s="9" t="n"/>
      <c r="B192" s="10" t="n"/>
      <c r="C192" s="10" t="n"/>
      <c r="D192" s="10" t="n"/>
      <c r="E192" s="10" t="n"/>
      <c r="F192" s="10" t="n"/>
      <c r="G192" s="10" t="n"/>
    </row>
    <row r="193">
      <c r="A193" s="9" t="n"/>
      <c r="B193" s="10" t="n"/>
      <c r="C193" s="10" t="n"/>
      <c r="D193" s="10" t="n"/>
      <c r="E193" s="10" t="n"/>
      <c r="F193" s="10" t="n"/>
      <c r="G193" s="10" t="n"/>
    </row>
    <row r="194">
      <c r="A194" s="9" t="n"/>
      <c r="B194" s="10" t="n"/>
      <c r="C194" s="10" t="n"/>
      <c r="D194" s="10" t="n"/>
      <c r="E194" s="10" t="n"/>
      <c r="F194" s="10" t="n"/>
      <c r="G194" s="10" t="n"/>
    </row>
    <row r="195">
      <c r="A195" s="9" t="n"/>
      <c r="B195" s="10" t="n"/>
      <c r="C195" s="10" t="n"/>
      <c r="D195" s="10" t="n"/>
      <c r="E195" s="10" t="n"/>
      <c r="F195" s="10" t="n"/>
      <c r="G195" s="10" t="n"/>
    </row>
    <row r="196">
      <c r="A196" s="9" t="n"/>
      <c r="B196" s="10" t="n"/>
      <c r="C196" s="10" t="n"/>
      <c r="D196" s="10" t="n"/>
      <c r="E196" s="10" t="n"/>
      <c r="F196" s="10" t="n"/>
      <c r="G196" s="10" t="n"/>
    </row>
    <row r="197">
      <c r="A197" s="9" t="n"/>
      <c r="B197" s="10" t="n"/>
      <c r="C197" s="10" t="n"/>
      <c r="D197" s="10" t="n"/>
      <c r="E197" s="10" t="n"/>
      <c r="F197" s="10" t="n"/>
      <c r="G197" s="10" t="n"/>
    </row>
    <row r="198">
      <c r="A198" s="9" t="n"/>
      <c r="B198" s="10" t="n"/>
      <c r="C198" s="10" t="n"/>
      <c r="D198" s="10" t="n"/>
      <c r="E198" s="10" t="n"/>
      <c r="F198" s="10" t="n"/>
      <c r="G198" s="10" t="n"/>
    </row>
    <row r="199">
      <c r="A199" s="9" t="n"/>
      <c r="B199" s="10" t="n"/>
      <c r="C199" s="10" t="n"/>
      <c r="D199" s="10" t="n"/>
      <c r="E199" s="10" t="n"/>
      <c r="F199" s="10" t="n"/>
      <c r="G199" s="10" t="n"/>
    </row>
    <row r="200">
      <c r="A200" s="9" t="n"/>
      <c r="B200" s="10" t="n"/>
      <c r="C200" s="10" t="n"/>
      <c r="D200" s="10" t="n"/>
      <c r="E200" s="10" t="n"/>
      <c r="F200" s="10" t="n"/>
      <c r="G200" s="10" t="n"/>
    </row>
    <row r="201">
      <c r="A201" s="9" t="n"/>
      <c r="B201" s="10" t="n"/>
      <c r="C201" s="10" t="n"/>
      <c r="D201" s="10" t="n"/>
      <c r="E201" s="10" t="n"/>
      <c r="F201" s="10" t="n"/>
      <c r="G201" s="10" t="n"/>
    </row>
    <row r="202">
      <c r="A202" s="9" t="n"/>
      <c r="B202" s="10" t="n"/>
      <c r="C202" s="10" t="n"/>
      <c r="D202" s="10" t="n"/>
      <c r="E202" s="10" t="n"/>
      <c r="F202" s="10" t="n"/>
      <c r="G202" s="10" t="n"/>
    </row>
    <row r="203">
      <c r="A203" s="9" t="n"/>
      <c r="B203" s="10" t="n"/>
      <c r="C203" s="10" t="n"/>
      <c r="D203" s="10" t="n"/>
      <c r="E203" s="10" t="n"/>
      <c r="F203" s="10" t="n"/>
      <c r="G203" s="10" t="n"/>
    </row>
    <row r="204">
      <c r="A204" s="9" t="n"/>
      <c r="B204" s="10" t="n"/>
      <c r="C204" s="10" t="n"/>
      <c r="D204" s="10" t="n"/>
      <c r="E204" s="10" t="n"/>
      <c r="F204" s="10" t="n"/>
      <c r="G204" s="10" t="n"/>
    </row>
    <row r="205">
      <c r="A205" s="9" t="n"/>
      <c r="B205" s="10" t="n"/>
      <c r="C205" s="10" t="n"/>
      <c r="D205" s="10" t="n"/>
      <c r="E205" s="10" t="n"/>
      <c r="F205" s="10" t="n"/>
      <c r="G205" s="10" t="n"/>
    </row>
    <row r="206">
      <c r="A206" s="9" t="n"/>
      <c r="B206" s="10" t="n"/>
      <c r="C206" s="10" t="n"/>
      <c r="D206" s="10" t="n"/>
      <c r="E206" s="10" t="n"/>
      <c r="F206" s="10" t="n"/>
      <c r="G206" s="10" t="n"/>
    </row>
    <row r="207">
      <c r="A207" s="9" t="n"/>
      <c r="B207" s="10" t="n"/>
      <c r="C207" s="10" t="n"/>
      <c r="D207" s="10" t="n"/>
      <c r="E207" s="10" t="n"/>
      <c r="F207" s="10" t="n"/>
      <c r="G207" s="10" t="n"/>
    </row>
    <row r="208">
      <c r="A208" s="9" t="n"/>
      <c r="B208" s="10" t="n"/>
      <c r="C208" s="10" t="n"/>
      <c r="D208" s="10" t="n"/>
      <c r="E208" s="10" t="n"/>
      <c r="F208" s="10" t="n"/>
      <c r="G208" s="10" t="n"/>
    </row>
    <row r="209">
      <c r="A209" s="9" t="n"/>
      <c r="B209" s="10" t="n"/>
      <c r="C209" s="10" t="n"/>
      <c r="D209" s="10" t="n"/>
      <c r="E209" s="10" t="n"/>
      <c r="F209" s="10" t="n"/>
      <c r="G209" s="10" t="n"/>
    </row>
    <row r="210">
      <c r="A210" s="9" t="n"/>
      <c r="B210" s="10" t="n"/>
      <c r="C210" s="10" t="n"/>
      <c r="D210" s="10" t="n"/>
      <c r="E210" s="10" t="n"/>
      <c r="F210" s="10" t="n"/>
      <c r="G210" s="10" t="n"/>
    </row>
    <row r="211">
      <c r="A211" s="9" t="n"/>
      <c r="B211" s="10" t="n"/>
      <c r="C211" s="10" t="n"/>
      <c r="D211" s="10" t="n"/>
      <c r="E211" s="10" t="n"/>
      <c r="F211" s="10" t="n"/>
      <c r="G211" s="10" t="n"/>
    </row>
    <row r="212">
      <c r="A212" s="9" t="n"/>
      <c r="B212" s="10" t="n"/>
      <c r="C212" s="10" t="n"/>
      <c r="D212" s="10" t="n"/>
      <c r="E212" s="10" t="n"/>
      <c r="F212" s="10" t="n"/>
      <c r="G212" s="10" t="n"/>
    </row>
    <row r="213">
      <c r="A213" s="9" t="n"/>
      <c r="B213" s="10" t="n"/>
      <c r="C213" s="10" t="n"/>
      <c r="D213" s="10" t="n"/>
      <c r="E213" s="10" t="n"/>
      <c r="F213" s="10" t="n"/>
      <c r="G213" s="10" t="n"/>
    </row>
    <row r="214">
      <c r="A214" s="9" t="n"/>
      <c r="B214" s="10" t="n"/>
      <c r="C214" s="10" t="n"/>
      <c r="D214" s="10" t="n"/>
      <c r="E214" s="10" t="n"/>
      <c r="F214" s="10" t="n"/>
      <c r="G214" s="10" t="n"/>
    </row>
    <row r="215">
      <c r="A215" s="9" t="n"/>
      <c r="B215" s="10" t="n"/>
      <c r="C215" s="10" t="n"/>
      <c r="D215" s="10" t="n"/>
      <c r="E215" s="10" t="n"/>
      <c r="F215" s="10" t="n"/>
      <c r="G215" s="10" t="n"/>
    </row>
    <row r="216">
      <c r="A216" s="9" t="n"/>
      <c r="B216" s="10" t="n"/>
      <c r="C216" s="10" t="n"/>
      <c r="D216" s="10" t="n"/>
      <c r="E216" s="10" t="n"/>
      <c r="F216" s="10" t="n"/>
      <c r="G216" s="10" t="n"/>
    </row>
    <row r="217">
      <c r="A217" s="9" t="n"/>
      <c r="B217" s="10" t="n"/>
      <c r="C217" s="10" t="n"/>
      <c r="D217" s="10" t="n"/>
      <c r="E217" s="10" t="n"/>
      <c r="F217" s="10" t="n"/>
      <c r="G217" s="10" t="n"/>
    </row>
    <row r="218">
      <c r="A218" s="9" t="n"/>
      <c r="B218" s="10" t="n"/>
      <c r="C218" s="10" t="n"/>
      <c r="D218" s="10" t="n"/>
      <c r="E218" s="10" t="n"/>
      <c r="F218" s="10" t="n"/>
      <c r="G218" s="10" t="n"/>
    </row>
    <row r="219">
      <c r="A219" s="9" t="n"/>
      <c r="B219" s="10" t="n"/>
      <c r="C219" s="10" t="n"/>
      <c r="D219" s="10" t="n"/>
      <c r="E219" s="10" t="n"/>
      <c r="F219" s="10" t="n"/>
      <c r="G219" s="10" t="n"/>
    </row>
    <row r="220">
      <c r="A220" s="9" t="n"/>
      <c r="B220" s="10" t="n"/>
      <c r="C220" s="10" t="n"/>
      <c r="D220" s="10" t="n"/>
      <c r="E220" s="10" t="n"/>
      <c r="F220" s="10" t="n"/>
      <c r="G220" s="10" t="n"/>
    </row>
    <row r="221">
      <c r="A221" s="9" t="n"/>
      <c r="B221" s="10" t="n"/>
      <c r="C221" s="10" t="n"/>
      <c r="D221" s="10" t="n"/>
      <c r="E221" s="10" t="n"/>
      <c r="F221" s="10" t="n"/>
      <c r="G221" s="10" t="n"/>
    </row>
    <row r="222">
      <c r="A222" s="9" t="n"/>
      <c r="B222" s="10" t="n"/>
      <c r="C222" s="10" t="n"/>
      <c r="D222" s="10" t="n"/>
      <c r="E222" s="10" t="n"/>
      <c r="F222" s="10" t="n"/>
      <c r="G222" s="10" t="n"/>
    </row>
    <row r="223">
      <c r="A223" s="9" t="n"/>
      <c r="B223" s="10" t="n"/>
      <c r="C223" s="10" t="n"/>
      <c r="D223" s="10" t="n"/>
      <c r="E223" s="10" t="n"/>
      <c r="F223" s="10" t="n"/>
      <c r="G223" s="10" t="n"/>
    </row>
    <row r="224">
      <c r="A224" s="9" t="n"/>
      <c r="B224" s="10" t="n"/>
      <c r="C224" s="10" t="n"/>
      <c r="D224" s="10" t="n"/>
      <c r="E224" s="10" t="n"/>
      <c r="F224" s="10" t="n"/>
      <c r="G224" s="10" t="n"/>
    </row>
    <row r="225">
      <c r="A225" s="9" t="n"/>
      <c r="B225" s="10" t="n"/>
      <c r="C225" s="10" t="n"/>
      <c r="D225" s="10" t="n"/>
      <c r="E225" s="10" t="n"/>
      <c r="F225" s="10" t="n"/>
      <c r="G225" s="10" t="n"/>
    </row>
    <row r="226">
      <c r="A226" s="9" t="n"/>
      <c r="B226" s="10" t="n"/>
      <c r="C226" s="10" t="n"/>
      <c r="D226" s="10" t="n"/>
      <c r="E226" s="10" t="n"/>
      <c r="F226" s="10" t="n"/>
      <c r="G226" s="10" t="n"/>
    </row>
    <row r="227">
      <c r="A227" s="9" t="n"/>
      <c r="B227" s="10" t="n"/>
      <c r="C227" s="10" t="n"/>
      <c r="D227" s="10" t="n"/>
      <c r="E227" s="10" t="n"/>
      <c r="F227" s="10" t="n"/>
      <c r="G227" s="10" t="n"/>
    </row>
    <row r="228">
      <c r="A228" s="9" t="n"/>
      <c r="B228" s="10" t="n"/>
      <c r="C228" s="10" t="n"/>
      <c r="D228" s="10" t="n"/>
      <c r="E228" s="10" t="n"/>
      <c r="F228" s="10" t="n"/>
      <c r="G228" s="10" t="n"/>
    </row>
    <row r="229">
      <c r="A229" s="9" t="n"/>
      <c r="B229" s="10" t="n"/>
      <c r="C229" s="10" t="n"/>
      <c r="D229" s="10" t="n"/>
      <c r="E229" s="10" t="n"/>
      <c r="F229" s="10" t="n"/>
      <c r="G229" s="10" t="n"/>
    </row>
    <row r="230">
      <c r="A230" s="9" t="n"/>
      <c r="B230" s="10" t="n"/>
      <c r="C230" s="10" t="n"/>
      <c r="D230" s="10" t="n"/>
      <c r="E230" s="10" t="n"/>
      <c r="F230" s="10" t="n"/>
      <c r="G230" s="10" t="n"/>
    </row>
    <row r="231">
      <c r="A231" s="9" t="n"/>
      <c r="B231" s="10" t="n"/>
      <c r="C231" s="10" t="n"/>
      <c r="D231" s="10" t="n"/>
      <c r="E231" s="10" t="n"/>
      <c r="F231" s="10" t="n"/>
      <c r="G231" s="10" t="n"/>
    </row>
    <row r="232">
      <c r="A232" s="9" t="n"/>
      <c r="B232" s="10" t="n"/>
      <c r="C232" s="10" t="n"/>
      <c r="D232" s="10" t="n"/>
      <c r="E232" s="10" t="n"/>
      <c r="F232" s="10" t="n"/>
      <c r="G232" s="10" t="n"/>
    </row>
    <row r="233">
      <c r="A233" s="9" t="n"/>
      <c r="B233" s="10" t="n"/>
      <c r="C233" s="10" t="n"/>
      <c r="D233" s="10" t="n"/>
      <c r="E233" s="10" t="n"/>
      <c r="F233" s="10" t="n"/>
      <c r="G233" s="10" t="n"/>
    </row>
    <row r="234">
      <c r="A234" s="9" t="n"/>
      <c r="B234" s="10" t="n"/>
      <c r="C234" s="10" t="n"/>
      <c r="D234" s="10" t="n"/>
      <c r="E234" s="10" t="n"/>
      <c r="F234" s="10" t="n"/>
      <c r="G234" s="10" t="n"/>
    </row>
    <row r="235">
      <c r="A235" s="9" t="n"/>
      <c r="B235" s="10" t="n"/>
      <c r="C235" s="10" t="n"/>
      <c r="D235" s="10" t="n"/>
      <c r="E235" s="10" t="n"/>
      <c r="F235" s="10" t="n"/>
      <c r="G235" s="10" t="n"/>
    </row>
    <row r="236">
      <c r="A236" s="9" t="n"/>
      <c r="B236" s="10" t="n"/>
      <c r="C236" s="10" t="n"/>
      <c r="D236" s="10" t="n"/>
      <c r="E236" s="10" t="n"/>
      <c r="F236" s="10" t="n"/>
      <c r="G236" s="10" t="n"/>
    </row>
    <row r="237">
      <c r="A237" s="9" t="n"/>
      <c r="B237" s="10" t="n"/>
      <c r="C237" s="10" t="n"/>
      <c r="D237" s="10" t="n"/>
      <c r="E237" s="10" t="n"/>
      <c r="F237" s="10" t="n"/>
      <c r="G237" s="10" t="n"/>
    </row>
    <row r="238">
      <c r="A238" s="9" t="n"/>
      <c r="B238" s="10" t="n"/>
      <c r="C238" s="10" t="n"/>
      <c r="D238" s="10" t="n"/>
      <c r="E238" s="10" t="n"/>
      <c r="F238" s="10" t="n"/>
      <c r="G238" s="10" t="n"/>
    </row>
    <row r="239">
      <c r="A239" s="9" t="n"/>
      <c r="B239" s="10" t="n"/>
      <c r="C239" s="10" t="n"/>
      <c r="D239" s="10" t="n"/>
      <c r="E239" s="10" t="n"/>
      <c r="F239" s="10" t="n"/>
      <c r="G239" s="10" t="n"/>
    </row>
    <row r="240">
      <c r="A240" s="9" t="n"/>
      <c r="B240" s="10" t="n"/>
      <c r="C240" s="10" t="n"/>
      <c r="D240" s="10" t="n"/>
      <c r="E240" s="10" t="n"/>
      <c r="F240" s="10" t="n"/>
      <c r="G240" s="10" t="n"/>
    </row>
    <row r="241">
      <c r="A241" s="9" t="n"/>
      <c r="B241" s="10" t="n"/>
      <c r="C241" s="10" t="n"/>
      <c r="D241" s="10" t="n"/>
      <c r="E241" s="10" t="n"/>
      <c r="F241" s="10" t="n"/>
      <c r="G241" s="10" t="n"/>
    </row>
    <row r="242">
      <c r="A242" s="9" t="n"/>
      <c r="B242" s="10" t="n"/>
      <c r="C242" s="10" t="n"/>
      <c r="D242" s="10" t="n"/>
      <c r="E242" s="10" t="n"/>
      <c r="F242" s="10" t="n"/>
      <c r="G242" s="10" t="n"/>
    </row>
    <row r="243">
      <c r="A243" s="9" t="n"/>
      <c r="B243" s="10" t="n"/>
      <c r="C243" s="10" t="n"/>
      <c r="D243" s="10" t="n"/>
      <c r="E243" s="10" t="n"/>
      <c r="F243" s="10" t="n"/>
      <c r="G243" s="10" t="n"/>
    </row>
    <row r="244">
      <c r="A244" s="9" t="n"/>
      <c r="B244" s="10" t="n"/>
      <c r="C244" s="10" t="n"/>
      <c r="D244" s="10" t="n"/>
      <c r="E244" s="10" t="n"/>
      <c r="F244" s="10" t="n"/>
      <c r="G244" s="10" t="n"/>
    </row>
    <row r="245">
      <c r="A245" s="9" t="n"/>
      <c r="B245" s="10" t="n"/>
      <c r="C245" s="10" t="n"/>
      <c r="D245" s="10" t="n"/>
      <c r="E245" s="10" t="n"/>
      <c r="F245" s="10" t="n"/>
      <c r="G245" s="10" t="n"/>
    </row>
    <row r="246">
      <c r="A246" s="9" t="n"/>
      <c r="B246" s="10" t="n"/>
      <c r="C246" s="10" t="n"/>
      <c r="D246" s="10" t="n"/>
      <c r="E246" s="10" t="n"/>
      <c r="F246" s="10" t="n"/>
      <c r="G246" s="10" t="n"/>
    </row>
    <row r="247">
      <c r="A247" s="9" t="n"/>
      <c r="B247" s="10" t="n"/>
      <c r="C247" s="10" t="n"/>
      <c r="D247" s="10" t="n"/>
      <c r="E247" s="10" t="n"/>
      <c r="F247" s="10" t="n"/>
      <c r="G247" s="10" t="n"/>
    </row>
    <row r="248">
      <c r="A248" s="9" t="n"/>
      <c r="B248" s="10" t="n"/>
      <c r="C248" s="10" t="n"/>
      <c r="D248" s="10" t="n"/>
      <c r="E248" s="10" t="n"/>
      <c r="F248" s="10" t="n"/>
      <c r="G248" s="10" t="n"/>
    </row>
    <row r="249">
      <c r="A249" s="9" t="n"/>
      <c r="B249" s="10" t="n"/>
      <c r="C249" s="10" t="n"/>
      <c r="D249" s="10" t="n"/>
      <c r="E249" s="10" t="n"/>
      <c r="F249" s="10" t="n"/>
      <c r="G249" s="10" t="n"/>
    </row>
    <row r="250">
      <c r="A250" s="9" t="n"/>
      <c r="B250" s="10" t="n"/>
      <c r="C250" s="10" t="n"/>
      <c r="D250" s="10" t="n"/>
      <c r="E250" s="10" t="n"/>
      <c r="F250" s="10" t="n"/>
      <c r="G250" s="10" t="n"/>
    </row>
    <row r="251">
      <c r="A251" s="9" t="n"/>
      <c r="B251" s="10" t="n"/>
      <c r="C251" s="10" t="n"/>
      <c r="D251" s="10" t="n"/>
      <c r="E251" s="10" t="n"/>
      <c r="F251" s="10" t="n"/>
      <c r="G251" s="10" t="n"/>
    </row>
    <row r="252">
      <c r="A252" s="9" t="n"/>
      <c r="B252" s="10" t="n"/>
      <c r="C252" s="10" t="n"/>
      <c r="D252" s="10" t="n"/>
      <c r="E252" s="10" t="n"/>
      <c r="F252" s="10" t="n"/>
      <c r="G252" s="10" t="n"/>
    </row>
    <row r="253">
      <c r="A253" s="9" t="n"/>
      <c r="B253" s="10" t="n"/>
      <c r="C253" s="10" t="n"/>
      <c r="D253" s="10" t="n"/>
      <c r="E253" s="10" t="n"/>
      <c r="F253" s="10" t="n"/>
      <c r="G253" s="10" t="n"/>
    </row>
    <row r="254">
      <c r="A254" s="9" t="n"/>
      <c r="B254" s="10" t="n"/>
      <c r="C254" s="10" t="n"/>
      <c r="D254" s="10" t="n"/>
      <c r="E254" s="10" t="n"/>
      <c r="F254" s="10" t="n"/>
      <c r="G254" s="10" t="n"/>
    </row>
    <row r="255">
      <c r="A255" s="9" t="n"/>
      <c r="B255" s="10" t="n"/>
      <c r="C255" s="10" t="n"/>
      <c r="D255" s="10" t="n"/>
      <c r="E255" s="10" t="n"/>
      <c r="F255" s="10" t="n"/>
      <c r="G255" s="10" t="n"/>
    </row>
    <row r="256">
      <c r="A256" s="9" t="n"/>
      <c r="B256" s="10" t="n"/>
      <c r="C256" s="10" t="n"/>
      <c r="D256" s="10" t="n"/>
      <c r="E256" s="10" t="n"/>
      <c r="F256" s="10" t="n"/>
      <c r="G256" s="10" t="n"/>
    </row>
    <row r="257">
      <c r="A257" s="9" t="n"/>
      <c r="B257" s="10" t="n"/>
      <c r="C257" s="10" t="n"/>
      <c r="D257" s="10" t="n"/>
      <c r="E257" s="10" t="n"/>
      <c r="F257" s="10" t="n"/>
      <c r="G257" s="10" t="n"/>
    </row>
    <row r="258">
      <c r="A258" s="9" t="n"/>
      <c r="B258" s="10" t="n"/>
      <c r="C258" s="10" t="n"/>
      <c r="D258" s="10" t="n"/>
      <c r="E258" s="10" t="n"/>
      <c r="F258" s="10" t="n"/>
      <c r="G258" s="10" t="n"/>
    </row>
    <row r="259">
      <c r="A259" s="9" t="n"/>
      <c r="B259" s="10" t="n"/>
      <c r="C259" s="10" t="n"/>
      <c r="D259" s="10" t="n"/>
      <c r="E259" s="10" t="n"/>
      <c r="F259" s="10" t="n"/>
      <c r="G259" s="10" t="n"/>
    </row>
    <row r="260">
      <c r="A260" s="9" t="n"/>
      <c r="B260" s="10" t="n"/>
      <c r="C260" s="10" t="n"/>
      <c r="D260" s="10" t="n"/>
      <c r="E260" s="10" t="n"/>
      <c r="F260" s="10" t="n"/>
      <c r="G260" s="10" t="n"/>
    </row>
    <row r="261">
      <c r="A261" s="9" t="n"/>
      <c r="B261" s="10" t="n"/>
      <c r="C261" s="10" t="n"/>
      <c r="D261" s="10" t="n"/>
      <c r="E261" s="10" t="n"/>
      <c r="F261" s="10" t="n"/>
      <c r="G261" s="10" t="n"/>
    </row>
    <row r="262">
      <c r="A262" s="9" t="n"/>
      <c r="B262" s="10" t="n"/>
      <c r="C262" s="10" t="n"/>
      <c r="D262" s="10" t="n"/>
      <c r="E262" s="10" t="n"/>
      <c r="F262" s="10" t="n"/>
      <c r="G262" s="10" t="n"/>
    </row>
    <row r="263">
      <c r="A263" s="9" t="n"/>
      <c r="B263" s="10" t="n"/>
      <c r="C263" s="10" t="n"/>
      <c r="D263" s="10" t="n"/>
      <c r="E263" s="10" t="n"/>
      <c r="F263" s="10" t="n"/>
      <c r="G263" s="10" t="n"/>
    </row>
    <row r="264">
      <c r="A264" s="9" t="n"/>
      <c r="B264" s="10" t="n"/>
      <c r="C264" s="10" t="n"/>
      <c r="D264" s="10" t="n"/>
      <c r="E264" s="10" t="n"/>
      <c r="F264" s="10" t="n"/>
      <c r="G264" s="10" t="n"/>
    </row>
    <row r="265">
      <c r="A265" s="9" t="n"/>
      <c r="B265" s="10" t="n"/>
      <c r="C265" s="10" t="n"/>
      <c r="D265" s="10" t="n"/>
      <c r="E265" s="10" t="n"/>
      <c r="F265" s="10" t="n"/>
      <c r="G265" s="10" t="n"/>
    </row>
    <row r="266">
      <c r="A266" s="9" t="n"/>
      <c r="B266" s="10" t="n"/>
      <c r="C266" s="10" t="n"/>
      <c r="D266" s="10" t="n"/>
      <c r="E266" s="10" t="n"/>
      <c r="F266" s="10" t="n"/>
      <c r="G266" s="10" t="n"/>
    </row>
    <row r="267">
      <c r="A267" s="9" t="n"/>
      <c r="B267" s="10" t="n"/>
      <c r="C267" s="10" t="n"/>
      <c r="D267" s="10" t="n"/>
      <c r="E267" s="10" t="n"/>
      <c r="F267" s="10" t="n"/>
      <c r="G267" s="10" t="n"/>
    </row>
    <row r="268">
      <c r="A268" s="9" t="n"/>
      <c r="B268" s="10" t="n"/>
      <c r="C268" s="10" t="n"/>
      <c r="D268" s="10" t="n"/>
      <c r="E268" s="10" t="n"/>
      <c r="F268" s="10" t="n"/>
      <c r="G268" s="10" t="n"/>
    </row>
    <row r="269">
      <c r="A269" s="9" t="n"/>
      <c r="B269" s="10" t="n"/>
      <c r="C269" s="10" t="n"/>
      <c r="D269" s="10" t="n"/>
      <c r="E269" s="10" t="n"/>
      <c r="F269" s="10" t="n"/>
      <c r="G269" s="10" t="n"/>
    </row>
    <row r="270">
      <c r="A270" s="9" t="n"/>
      <c r="B270" s="10" t="n"/>
      <c r="C270" s="10" t="n"/>
      <c r="D270" s="10" t="n"/>
      <c r="E270" s="10" t="n"/>
      <c r="F270" s="10" t="n"/>
      <c r="G270" s="10" t="n"/>
    </row>
    <row r="271">
      <c r="A271" s="9" t="n"/>
      <c r="B271" s="10" t="n"/>
      <c r="C271" s="10" t="n"/>
      <c r="D271" s="10" t="n"/>
      <c r="E271" s="10" t="n"/>
      <c r="F271" s="10" t="n"/>
      <c r="G271" s="10" t="n"/>
    </row>
    <row r="272">
      <c r="A272" s="9" t="n"/>
      <c r="B272" s="10" t="n"/>
      <c r="C272" s="10" t="n"/>
      <c r="D272" s="10" t="n"/>
      <c r="E272" s="10" t="n"/>
      <c r="F272" s="10" t="n"/>
      <c r="G272" s="10" t="n"/>
    </row>
    <row r="273">
      <c r="A273" s="9" t="n"/>
      <c r="B273" s="10" t="n"/>
      <c r="C273" s="10" t="n"/>
      <c r="D273" s="10" t="n"/>
      <c r="E273" s="10" t="n"/>
      <c r="F273" s="10" t="n"/>
      <c r="G273" s="10" t="n"/>
    </row>
    <row r="274">
      <c r="A274" s="9" t="n"/>
      <c r="B274" s="10" t="n"/>
      <c r="C274" s="10" t="n"/>
      <c r="D274" s="10" t="n"/>
      <c r="E274" s="10" t="n"/>
      <c r="F274" s="10" t="n"/>
      <c r="G274" s="10" t="n"/>
    </row>
    <row r="275">
      <c r="A275" s="9" t="n"/>
      <c r="B275" s="10" t="n"/>
      <c r="C275" s="10" t="n"/>
      <c r="D275" s="10" t="n"/>
      <c r="E275" s="10" t="n"/>
      <c r="F275" s="10" t="n"/>
      <c r="G275" s="10" t="n"/>
    </row>
    <row r="276">
      <c r="A276" s="9" t="n"/>
      <c r="B276" s="10" t="n"/>
      <c r="C276" s="10" t="n"/>
      <c r="D276" s="10" t="n"/>
      <c r="E276" s="10" t="n"/>
      <c r="F276" s="10" t="n"/>
      <c r="G276" s="10" t="n"/>
    </row>
    <row r="277">
      <c r="A277" s="9" t="n"/>
      <c r="B277" s="10" t="n"/>
      <c r="C277" s="10" t="n"/>
      <c r="D277" s="10" t="n"/>
      <c r="E277" s="10" t="n"/>
      <c r="F277" s="10" t="n"/>
      <c r="G277" s="10" t="n"/>
    </row>
    <row r="278">
      <c r="A278" s="9" t="n"/>
      <c r="B278" s="10" t="n"/>
      <c r="C278" s="10" t="n"/>
      <c r="D278" s="10" t="n"/>
      <c r="E278" s="10" t="n"/>
      <c r="F278" s="10" t="n"/>
      <c r="G278" s="10" t="n"/>
    </row>
    <row r="279">
      <c r="A279" s="9" t="n"/>
      <c r="B279" s="10" t="n"/>
      <c r="C279" s="10" t="n"/>
      <c r="D279" s="10" t="n"/>
      <c r="E279" s="10" t="n"/>
      <c r="F279" s="10" t="n"/>
      <c r="G279" s="10" t="n"/>
    </row>
    <row r="280">
      <c r="A280" s="9" t="n"/>
      <c r="B280" s="10" t="n"/>
      <c r="C280" s="10" t="n"/>
      <c r="D280" s="10" t="n"/>
      <c r="E280" s="10" t="n"/>
      <c r="F280" s="10" t="n"/>
      <c r="G280" s="10" t="n"/>
    </row>
    <row r="281">
      <c r="A281" s="9" t="n"/>
      <c r="B281" s="10" t="n"/>
      <c r="C281" s="10" t="n"/>
      <c r="D281" s="10" t="n"/>
      <c r="E281" s="10" t="n"/>
      <c r="F281" s="10" t="n"/>
      <c r="G281" s="10" t="n"/>
    </row>
    <row r="282">
      <c r="A282" s="9" t="n"/>
      <c r="B282" s="10" t="n"/>
      <c r="C282" s="10" t="n"/>
      <c r="D282" s="10" t="n"/>
      <c r="E282" s="10" t="n"/>
      <c r="F282" s="10" t="n"/>
      <c r="G282" s="10" t="n"/>
    </row>
    <row r="283">
      <c r="A283" s="9" t="n"/>
      <c r="B283" s="10" t="n"/>
      <c r="C283" s="10" t="n"/>
      <c r="D283" s="10" t="n"/>
      <c r="E283" s="10" t="n"/>
      <c r="F283" s="10" t="n"/>
      <c r="G283" s="10" t="n"/>
    </row>
    <row r="284">
      <c r="A284" s="9" t="n"/>
      <c r="B284" s="10" t="n"/>
      <c r="C284" s="10" t="n"/>
      <c r="D284" s="10" t="n"/>
      <c r="E284" s="10" t="n"/>
      <c r="F284" s="10" t="n"/>
      <c r="G284" s="10" t="n"/>
    </row>
    <row r="285">
      <c r="A285" s="9" t="n"/>
      <c r="B285" s="10" t="n"/>
      <c r="C285" s="10" t="n"/>
      <c r="D285" s="10" t="n"/>
      <c r="E285" s="10" t="n"/>
      <c r="F285" s="10" t="n"/>
      <c r="G285" s="10" t="n"/>
    </row>
    <row r="286">
      <c r="A286" s="9" t="n"/>
      <c r="B286" s="10" t="n"/>
      <c r="C286" s="10" t="n"/>
      <c r="D286" s="10" t="n"/>
      <c r="E286" s="10" t="n"/>
      <c r="F286" s="10" t="n"/>
      <c r="G286" s="10" t="n"/>
    </row>
    <row r="287">
      <c r="A287" s="9" t="n"/>
      <c r="B287" s="10" t="n"/>
      <c r="C287" s="10" t="n"/>
      <c r="D287" s="10" t="n"/>
      <c r="E287" s="10" t="n"/>
      <c r="F287" s="10" t="n"/>
      <c r="G287" s="10" t="n"/>
    </row>
    <row r="288">
      <c r="A288" s="9" t="n"/>
      <c r="B288" s="10" t="n"/>
      <c r="C288" s="10" t="n"/>
      <c r="D288" s="10" t="n"/>
      <c r="E288" s="10" t="n"/>
      <c r="F288" s="10" t="n"/>
      <c r="G288" s="10" t="n"/>
    </row>
    <row r="289">
      <c r="A289" s="9" t="n"/>
      <c r="B289" s="10" t="n"/>
      <c r="C289" s="10" t="n"/>
      <c r="D289" s="10" t="n"/>
      <c r="E289" s="10" t="n"/>
      <c r="F289" s="10" t="n"/>
      <c r="G289" s="10" t="n"/>
    </row>
    <row r="290">
      <c r="A290" s="9" t="n"/>
      <c r="B290" s="10" t="n"/>
      <c r="C290" s="10" t="n"/>
      <c r="D290" s="10" t="n"/>
      <c r="E290" s="10" t="n"/>
      <c r="F290" s="10" t="n"/>
      <c r="G290" s="10" t="n"/>
    </row>
    <row r="291">
      <c r="A291" s="9" t="n"/>
      <c r="B291" s="10" t="n"/>
      <c r="C291" s="10" t="n"/>
      <c r="D291" s="10" t="n"/>
      <c r="E291" s="10" t="n"/>
      <c r="F291" s="10" t="n"/>
      <c r="G291" s="10" t="n"/>
    </row>
    <row r="292">
      <c r="A292" s="9" t="n"/>
      <c r="B292" s="10" t="n"/>
      <c r="C292" s="10" t="n"/>
      <c r="D292" s="10" t="n"/>
      <c r="E292" s="10" t="n"/>
      <c r="F292" s="10" t="n"/>
      <c r="G292" s="10" t="n"/>
    </row>
    <row r="293">
      <c r="A293" s="9" t="n"/>
      <c r="B293" s="10" t="n"/>
      <c r="C293" s="10" t="n"/>
      <c r="D293" s="10" t="n"/>
      <c r="E293" s="10" t="n"/>
      <c r="F293" s="10" t="n"/>
      <c r="G293" s="10" t="n"/>
    </row>
    <row r="294">
      <c r="A294" s="9" t="n"/>
      <c r="B294" s="10" t="n"/>
      <c r="C294" s="10" t="n"/>
      <c r="D294" s="10" t="n"/>
      <c r="E294" s="10" t="n"/>
      <c r="F294" s="10" t="n"/>
      <c r="G294" s="10" t="n"/>
    </row>
    <row r="295">
      <c r="A295" s="9" t="n"/>
      <c r="B295" s="10" t="n"/>
      <c r="C295" s="10" t="n"/>
      <c r="D295" s="10" t="n"/>
      <c r="E295" s="10" t="n"/>
      <c r="F295" s="10" t="n"/>
      <c r="G295" s="10" t="n"/>
    </row>
    <row r="296">
      <c r="A296" s="9" t="n"/>
      <c r="B296" s="10" t="n"/>
      <c r="C296" s="10" t="n"/>
      <c r="D296" s="10" t="n"/>
      <c r="E296" s="10" t="n"/>
      <c r="F296" s="10" t="n"/>
      <c r="G296" s="10" t="n"/>
    </row>
    <row r="297">
      <c r="A297" s="9" t="n"/>
      <c r="B297" s="10" t="n"/>
      <c r="C297" s="10" t="n"/>
      <c r="D297" s="10" t="n"/>
      <c r="E297" s="10" t="n"/>
      <c r="F297" s="10" t="n"/>
      <c r="G297" s="10" t="n"/>
    </row>
    <row r="298">
      <c r="A298" s="9" t="n"/>
      <c r="B298" s="10" t="n"/>
      <c r="C298" s="10" t="n"/>
      <c r="D298" s="10" t="n"/>
      <c r="E298" s="10" t="n"/>
      <c r="F298" s="10" t="n"/>
      <c r="G298" s="10" t="n"/>
    </row>
    <row r="299">
      <c r="A299" s="9" t="n"/>
      <c r="B299" s="10" t="n"/>
      <c r="C299" s="10" t="n"/>
      <c r="D299" s="10" t="n"/>
      <c r="E299" s="10" t="n"/>
      <c r="F299" s="10" t="n"/>
      <c r="G299" s="10" t="n"/>
    </row>
    <row r="300">
      <c r="A300" s="9" t="n"/>
      <c r="B300" s="10" t="n"/>
      <c r="C300" s="10" t="n"/>
      <c r="D300" s="10" t="n"/>
      <c r="E300" s="10" t="n"/>
      <c r="F300" s="10" t="n"/>
      <c r="G300" s="10" t="n"/>
    </row>
    <row r="301">
      <c r="A301" s="9" t="n"/>
      <c r="B301" s="10" t="n"/>
      <c r="C301" s="10" t="n"/>
      <c r="D301" s="10" t="n"/>
      <c r="E301" s="10" t="n"/>
      <c r="F301" s="10" t="n"/>
      <c r="G301" s="10" t="n"/>
    </row>
    <row r="302">
      <c r="A302" s="9" t="n"/>
      <c r="B302" s="10" t="n"/>
      <c r="C302" s="10" t="n"/>
      <c r="D302" s="10" t="n"/>
      <c r="E302" s="10" t="n"/>
      <c r="F302" s="10" t="n"/>
      <c r="G302" s="10" t="n"/>
    </row>
    <row r="303">
      <c r="A303" s="9" t="n"/>
      <c r="B303" s="10" t="n"/>
      <c r="C303" s="10" t="n"/>
      <c r="D303" s="10" t="n"/>
      <c r="E303" s="10" t="n"/>
      <c r="F303" s="10" t="n"/>
      <c r="G303" s="10" t="n"/>
    </row>
    <row r="304">
      <c r="A304" s="9" t="n"/>
      <c r="B304" s="10" t="n"/>
      <c r="C304" s="10" t="n"/>
      <c r="D304" s="10" t="n"/>
      <c r="E304" s="10" t="n"/>
      <c r="F304" s="10" t="n"/>
      <c r="G304" s="10" t="n"/>
    </row>
    <row r="305">
      <c r="A305" s="9" t="n"/>
      <c r="B305" s="10" t="n"/>
      <c r="C305" s="10" t="n"/>
      <c r="D305" s="10" t="n"/>
      <c r="E305" s="10" t="n"/>
      <c r="F305" s="10" t="n"/>
      <c r="G305" s="10" t="n"/>
    </row>
    <row r="306">
      <c r="A306" s="9" t="n"/>
      <c r="B306" s="10" t="n"/>
      <c r="C306" s="10" t="n"/>
      <c r="D306" s="10" t="n"/>
      <c r="E306" s="10" t="n"/>
      <c r="F306" s="10" t="n"/>
      <c r="G306" s="10" t="n"/>
    </row>
    <row r="307">
      <c r="A307" s="9" t="n"/>
      <c r="B307" s="10" t="n"/>
      <c r="C307" s="10" t="n"/>
      <c r="D307" s="10" t="n"/>
      <c r="E307" s="10" t="n"/>
      <c r="F307" s="10" t="n"/>
      <c r="G307" s="10" t="n"/>
    </row>
    <row r="308">
      <c r="A308" s="9" t="n"/>
      <c r="B308" s="10" t="n"/>
      <c r="C308" s="10" t="n"/>
      <c r="D308" s="10" t="n"/>
      <c r="E308" s="10" t="n"/>
      <c r="F308" s="10" t="n"/>
      <c r="G308" s="10" t="n"/>
    </row>
    <row r="309">
      <c r="A309" s="9" t="n"/>
      <c r="B309" s="10" t="n"/>
      <c r="C309" s="10" t="n"/>
      <c r="D309" s="10" t="n"/>
      <c r="E309" s="10" t="n"/>
      <c r="F309" s="10" t="n"/>
      <c r="G309" s="10" t="n"/>
    </row>
    <row r="310">
      <c r="A310" s="9" t="n"/>
      <c r="B310" s="10" t="n"/>
      <c r="C310" s="10" t="n"/>
      <c r="D310" s="10" t="n"/>
      <c r="E310" s="10" t="n"/>
      <c r="F310" s="10" t="n"/>
      <c r="G310" s="10" t="n"/>
    </row>
    <row r="311">
      <c r="A311" s="9" t="n"/>
      <c r="B311" s="10" t="n"/>
      <c r="C311" s="10" t="n"/>
      <c r="D311" s="10" t="n"/>
      <c r="E311" s="10" t="n"/>
      <c r="F311" s="10" t="n"/>
      <c r="G311" s="10" t="n"/>
    </row>
    <row r="312">
      <c r="A312" s="9" t="n"/>
      <c r="B312" s="10" t="n"/>
      <c r="C312" s="10" t="n"/>
      <c r="D312" s="10" t="n"/>
      <c r="E312" s="10" t="n"/>
      <c r="F312" s="10" t="n"/>
      <c r="G312" s="10" t="n"/>
    </row>
    <row r="313">
      <c r="A313" s="9" t="n"/>
      <c r="B313" s="10" t="n"/>
      <c r="C313" s="10" t="n"/>
      <c r="D313" s="10" t="n"/>
      <c r="E313" s="10" t="n"/>
      <c r="F313" s="10" t="n"/>
      <c r="G313" s="10" t="n"/>
    </row>
    <row r="314">
      <c r="A314" s="9" t="n"/>
      <c r="B314" s="10" t="n"/>
      <c r="C314" s="10" t="n"/>
      <c r="D314" s="10" t="n"/>
      <c r="E314" s="10" t="n"/>
      <c r="F314" s="10" t="n"/>
      <c r="G314" s="10" t="n"/>
    </row>
    <row r="315">
      <c r="A315" s="9" t="n"/>
      <c r="B315" s="10" t="n"/>
      <c r="C315" s="10" t="n"/>
      <c r="D315" s="10" t="n"/>
      <c r="E315" s="10" t="n"/>
      <c r="F315" s="10" t="n"/>
      <c r="G315" s="10" t="n"/>
    </row>
    <row r="316">
      <c r="A316" s="9" t="n"/>
      <c r="B316" s="10" t="n"/>
      <c r="C316" s="10" t="n"/>
      <c r="D316" s="10" t="n"/>
      <c r="E316" s="10" t="n"/>
      <c r="F316" s="10" t="n"/>
      <c r="G316" s="10" t="n"/>
    </row>
    <row r="317">
      <c r="A317" s="9" t="n"/>
      <c r="B317" s="10" t="n"/>
      <c r="C317" s="10" t="n"/>
      <c r="D317" s="10" t="n"/>
      <c r="E317" s="10" t="n"/>
      <c r="F317" s="10" t="n"/>
      <c r="G317" s="10" t="n"/>
    </row>
    <row r="318">
      <c r="A318" s="9" t="n"/>
      <c r="B318" s="10" t="n"/>
      <c r="C318" s="10" t="n"/>
      <c r="D318" s="10" t="n"/>
      <c r="E318" s="10" t="n"/>
      <c r="F318" s="10" t="n"/>
      <c r="G318" s="10" t="n"/>
    </row>
    <row r="319">
      <c r="A319" s="9" t="n"/>
      <c r="B319" s="10" t="n"/>
      <c r="C319" s="10" t="n"/>
      <c r="D319" s="10" t="n"/>
      <c r="E319" s="10" t="n"/>
      <c r="F319" s="10" t="n"/>
      <c r="G319" s="10" t="n"/>
    </row>
    <row r="320">
      <c r="A320" s="9" t="n"/>
      <c r="B320" s="10" t="n"/>
      <c r="C320" s="10" t="n"/>
      <c r="D320" s="10" t="n"/>
      <c r="E320" s="10" t="n"/>
      <c r="F320" s="10" t="n"/>
      <c r="G320" s="10" t="n"/>
    </row>
    <row r="321">
      <c r="A321" s="9" t="n"/>
      <c r="B321" s="10" t="n"/>
      <c r="C321" s="10" t="n"/>
      <c r="D321" s="10" t="n"/>
      <c r="E321" s="10" t="n"/>
      <c r="F321" s="10" t="n"/>
      <c r="G321" s="10" t="n"/>
    </row>
    <row r="322">
      <c r="A322" s="9" t="n"/>
      <c r="B322" s="10" t="n"/>
      <c r="C322" s="10" t="n"/>
      <c r="D322" s="10" t="n"/>
      <c r="E322" s="10" t="n"/>
      <c r="F322" s="10" t="n"/>
      <c r="G322" s="10" t="n"/>
    </row>
    <row r="323">
      <c r="A323" s="9" t="n"/>
      <c r="B323" s="10" t="n"/>
      <c r="C323" s="10" t="n"/>
      <c r="D323" s="10" t="n"/>
      <c r="E323" s="10" t="n"/>
      <c r="F323" s="10" t="n"/>
      <c r="G323" s="10" t="n"/>
    </row>
    <row r="324">
      <c r="A324" s="9" t="n"/>
      <c r="B324" s="10" t="n"/>
      <c r="C324" s="10" t="n"/>
      <c r="D324" s="10" t="n"/>
      <c r="E324" s="10" t="n"/>
      <c r="F324" s="10" t="n"/>
      <c r="G324" s="10" t="n"/>
    </row>
    <row r="325">
      <c r="A325" s="9" t="n"/>
      <c r="B325" s="10" t="n"/>
      <c r="C325" s="10" t="n"/>
      <c r="D325" s="10" t="n"/>
      <c r="E325" s="10" t="n"/>
      <c r="F325" s="10" t="n"/>
      <c r="G325" s="10" t="n"/>
    </row>
    <row r="326">
      <c r="A326" s="9" t="n"/>
      <c r="B326" s="10" t="n"/>
      <c r="C326" s="10" t="n"/>
      <c r="D326" s="10" t="n"/>
      <c r="E326" s="10" t="n"/>
      <c r="F326" s="10" t="n"/>
      <c r="G326" s="10" t="n"/>
    </row>
    <row r="327">
      <c r="A327" s="9" t="n"/>
      <c r="B327" s="10" t="n"/>
      <c r="C327" s="10" t="n"/>
      <c r="D327" s="10" t="n"/>
      <c r="E327" s="10" t="n"/>
      <c r="F327" s="10" t="n"/>
      <c r="G327" s="10" t="n"/>
    </row>
    <row r="328">
      <c r="A328" s="9" t="n"/>
      <c r="B328" s="10" t="n"/>
      <c r="C328" s="10" t="n"/>
      <c r="D328" s="10" t="n"/>
      <c r="E328" s="10" t="n"/>
      <c r="F328" s="10" t="n"/>
      <c r="G328" s="10" t="n"/>
    </row>
    <row r="329">
      <c r="A329" s="9" t="n"/>
      <c r="B329" s="10" t="n"/>
      <c r="C329" s="10" t="n"/>
      <c r="D329" s="10" t="n"/>
      <c r="E329" s="10" t="n"/>
      <c r="F329" s="10" t="n"/>
      <c r="G329" s="10" t="n"/>
    </row>
    <row r="330">
      <c r="A330" s="9" t="n"/>
      <c r="B330" s="10" t="n"/>
      <c r="C330" s="10" t="n"/>
      <c r="D330" s="10" t="n"/>
      <c r="E330" s="10" t="n"/>
      <c r="F330" s="10" t="n"/>
      <c r="G330" s="10" t="n"/>
    </row>
    <row r="331">
      <c r="A331" s="9" t="n"/>
      <c r="B331" s="10" t="n"/>
      <c r="C331" s="10" t="n"/>
      <c r="D331" s="10" t="n"/>
      <c r="E331" s="10" t="n"/>
      <c r="F331" s="10" t="n"/>
      <c r="G331" s="10" t="n"/>
    </row>
    <row r="332">
      <c r="A332" s="9" t="n"/>
      <c r="B332" s="10" t="n"/>
      <c r="C332" s="10" t="n"/>
      <c r="D332" s="10" t="n"/>
      <c r="E332" s="10" t="n"/>
      <c r="F332" s="10" t="n"/>
      <c r="G332" s="10" t="n"/>
    </row>
    <row r="333">
      <c r="A333" s="9" t="n"/>
      <c r="B333" s="10" t="n"/>
      <c r="C333" s="10" t="n"/>
      <c r="D333" s="10" t="n"/>
      <c r="E333" s="10" t="n"/>
      <c r="F333" s="10" t="n"/>
      <c r="G333" s="10" t="n"/>
    </row>
    <row r="334">
      <c r="A334" s="9" t="n"/>
      <c r="B334" s="10" t="n"/>
      <c r="C334" s="10" t="n"/>
      <c r="D334" s="10" t="n"/>
      <c r="E334" s="10" t="n"/>
      <c r="F334" s="10" t="n"/>
      <c r="G334" s="10" t="n"/>
    </row>
    <row r="335">
      <c r="A335" s="9" t="n"/>
      <c r="B335" s="10" t="n"/>
      <c r="C335" s="10" t="n"/>
      <c r="D335" s="10" t="n"/>
      <c r="E335" s="10" t="n"/>
      <c r="F335" s="10" t="n"/>
      <c r="G335" s="10" t="n"/>
    </row>
    <row r="336">
      <c r="A336" s="9" t="n"/>
      <c r="B336" s="10" t="n"/>
      <c r="C336" s="10" t="n"/>
      <c r="D336" s="10" t="n"/>
      <c r="E336" s="10" t="n"/>
      <c r="F336" s="10" t="n"/>
      <c r="G336" s="10" t="n"/>
    </row>
    <row r="337">
      <c r="A337" s="9" t="n"/>
      <c r="B337" s="10" t="n"/>
      <c r="C337" s="10" t="n"/>
      <c r="D337" s="10" t="n"/>
      <c r="E337" s="10" t="n"/>
      <c r="F337" s="10" t="n"/>
      <c r="G337" s="10" t="n"/>
    </row>
    <row r="338">
      <c r="A338" s="9" t="n"/>
      <c r="B338" s="10" t="n"/>
      <c r="C338" s="10" t="n"/>
      <c r="D338" s="10" t="n"/>
      <c r="E338" s="10" t="n"/>
      <c r="F338" s="10" t="n"/>
      <c r="G338" s="10" t="n"/>
    </row>
    <row r="339">
      <c r="A339" s="9" t="n"/>
      <c r="B339" s="10" t="n"/>
      <c r="C339" s="10" t="n"/>
      <c r="D339" s="10" t="n"/>
      <c r="E339" s="10" t="n"/>
      <c r="F339" s="10" t="n"/>
      <c r="G339" s="10" t="n"/>
    </row>
    <row r="340">
      <c r="A340" s="9" t="n"/>
      <c r="B340" s="10" t="n"/>
      <c r="C340" s="10" t="n"/>
      <c r="D340" s="10" t="n"/>
      <c r="E340" s="10" t="n"/>
      <c r="F340" s="10" t="n"/>
      <c r="G340" s="10" t="n"/>
    </row>
    <row r="341">
      <c r="A341" s="9" t="n"/>
      <c r="B341" s="10" t="n"/>
      <c r="C341" s="10" t="n"/>
      <c r="D341" s="10" t="n"/>
      <c r="E341" s="10" t="n"/>
      <c r="F341" s="10" t="n"/>
      <c r="G341" s="10" t="n"/>
    </row>
    <row r="342">
      <c r="A342" s="9" t="n"/>
      <c r="B342" s="10" t="n"/>
      <c r="C342" s="10" t="n"/>
      <c r="D342" s="10" t="n"/>
      <c r="E342" s="10" t="n"/>
      <c r="F342" s="10" t="n"/>
      <c r="G342" s="10" t="n"/>
    </row>
    <row r="343">
      <c r="A343" s="9" t="n"/>
      <c r="B343" s="10" t="n"/>
      <c r="C343" s="10" t="n"/>
      <c r="D343" s="10" t="n"/>
      <c r="E343" s="10" t="n"/>
      <c r="F343" s="10" t="n"/>
      <c r="G343" s="10" t="n"/>
    </row>
    <row r="344">
      <c r="A344" s="9" t="n"/>
      <c r="B344" s="10" t="n"/>
      <c r="C344" s="10" t="n"/>
      <c r="D344" s="10" t="n"/>
      <c r="E344" s="10" t="n"/>
      <c r="F344" s="10" t="n"/>
      <c r="G344" s="10" t="n"/>
    </row>
    <row r="345">
      <c r="A345" s="9" t="n"/>
      <c r="B345" s="10" t="n"/>
      <c r="C345" s="10" t="n"/>
      <c r="D345" s="10" t="n"/>
      <c r="E345" s="10" t="n"/>
      <c r="F345" s="10" t="n"/>
      <c r="G345" s="10" t="n"/>
    </row>
    <row r="346">
      <c r="A346" s="9" t="n"/>
      <c r="B346" s="10" t="n"/>
      <c r="C346" s="10" t="n"/>
      <c r="D346" s="10" t="n"/>
      <c r="E346" s="10" t="n"/>
      <c r="F346" s="10" t="n"/>
      <c r="G346" s="10" t="n"/>
    </row>
    <row r="347">
      <c r="A347" s="9" t="n"/>
      <c r="B347" s="10" t="n"/>
      <c r="C347" s="10" t="n"/>
      <c r="D347" s="10" t="n"/>
      <c r="E347" s="10" t="n"/>
      <c r="F347" s="10" t="n"/>
      <c r="G347" s="10" t="n"/>
    </row>
    <row r="348">
      <c r="A348" s="9" t="n"/>
      <c r="B348" s="10" t="n"/>
      <c r="C348" s="10" t="n"/>
      <c r="D348" s="10" t="n"/>
      <c r="E348" s="10" t="n"/>
      <c r="F348" s="10" t="n"/>
      <c r="G348" s="10" t="n"/>
    </row>
    <row r="349">
      <c r="A349" s="9" t="n"/>
      <c r="B349" s="10" t="n"/>
      <c r="C349" s="10" t="n"/>
      <c r="D349" s="10" t="n"/>
      <c r="E349" s="10" t="n"/>
      <c r="F349" s="10" t="n"/>
      <c r="G349" s="10" t="n"/>
    </row>
    <row r="350">
      <c r="A350" s="9" t="n"/>
      <c r="B350" s="10" t="n"/>
      <c r="C350" s="10" t="n"/>
      <c r="D350" s="10" t="n"/>
      <c r="E350" s="10" t="n"/>
      <c r="F350" s="10" t="n"/>
      <c r="G350" s="10" t="n"/>
    </row>
    <row r="351">
      <c r="A351" s="9" t="n"/>
      <c r="B351" s="10" t="n"/>
      <c r="C351" s="10" t="n"/>
      <c r="D351" s="10" t="n"/>
      <c r="E351" s="10" t="n"/>
      <c r="F351" s="10" t="n"/>
      <c r="G351" s="10" t="n"/>
    </row>
    <row r="352">
      <c r="A352" s="9" t="n"/>
      <c r="B352" s="10" t="n"/>
      <c r="C352" s="10" t="n"/>
      <c r="D352" s="10" t="n"/>
      <c r="E352" s="10" t="n"/>
      <c r="F352" s="10" t="n"/>
      <c r="G352" s="10" t="n"/>
    </row>
    <row r="353">
      <c r="A353" s="9" t="n"/>
      <c r="B353" s="10" t="n"/>
      <c r="C353" s="10" t="n"/>
      <c r="D353" s="10" t="n"/>
      <c r="E353" s="10" t="n"/>
      <c r="F353" s="10" t="n"/>
      <c r="G353" s="10" t="n"/>
    </row>
    <row r="354">
      <c r="A354" s="9" t="n"/>
      <c r="B354" s="10" t="n"/>
      <c r="C354" s="10" t="n"/>
      <c r="D354" s="10" t="n"/>
      <c r="E354" s="10" t="n"/>
      <c r="F354" s="10" t="n"/>
      <c r="G354" s="10" t="n"/>
    </row>
    <row r="355">
      <c r="A355" s="9" t="n"/>
      <c r="B355" s="10" t="n"/>
      <c r="C355" s="10" t="n"/>
      <c r="D355" s="10" t="n"/>
      <c r="E355" s="10" t="n"/>
      <c r="F355" s="10" t="n"/>
      <c r="G355" s="10" t="n"/>
    </row>
    <row r="356">
      <c r="A356" s="9" t="n"/>
      <c r="B356" s="10" t="n"/>
      <c r="C356" s="10" t="n"/>
      <c r="D356" s="10" t="n"/>
      <c r="E356" s="10" t="n"/>
      <c r="F356" s="10" t="n"/>
      <c r="G356" s="10" t="n"/>
    </row>
    <row r="357">
      <c r="A357" s="9" t="n"/>
      <c r="B357" s="10" t="n"/>
      <c r="C357" s="10" t="n"/>
      <c r="D357" s="10" t="n"/>
      <c r="E357" s="10" t="n"/>
      <c r="F357" s="10" t="n"/>
      <c r="G357" s="10" t="n"/>
    </row>
    <row r="358">
      <c r="A358" s="9" t="n"/>
      <c r="B358" s="10" t="n"/>
      <c r="C358" s="10" t="n"/>
      <c r="D358" s="10" t="n"/>
      <c r="E358" s="10" t="n"/>
      <c r="F358" s="10" t="n"/>
      <c r="G358" s="10" t="n"/>
    </row>
    <row r="359">
      <c r="A359" s="9" t="n"/>
      <c r="B359" s="10" t="n"/>
      <c r="C359" s="10" t="n"/>
      <c r="D359" s="10" t="n"/>
      <c r="E359" s="10" t="n"/>
      <c r="F359" s="10" t="n"/>
      <c r="G359" s="10" t="n"/>
    </row>
    <row r="360">
      <c r="A360" s="9" t="n"/>
      <c r="B360" s="10" t="n"/>
      <c r="C360" s="10" t="n"/>
      <c r="D360" s="10" t="n"/>
      <c r="E360" s="10" t="n"/>
      <c r="F360" s="10" t="n"/>
      <c r="G360" s="10" t="n"/>
    </row>
    <row r="361">
      <c r="A361" s="9" t="n"/>
      <c r="B361" s="10" t="n"/>
      <c r="C361" s="10" t="n"/>
      <c r="D361" s="10" t="n"/>
      <c r="E361" s="10" t="n"/>
      <c r="F361" s="10" t="n"/>
      <c r="G361" s="10" t="n"/>
    </row>
    <row r="362">
      <c r="A362" s="9" t="n"/>
      <c r="B362" s="10" t="n"/>
      <c r="C362" s="10" t="n"/>
      <c r="D362" s="10" t="n"/>
      <c r="E362" s="10" t="n"/>
      <c r="F362" s="10" t="n"/>
      <c r="G362" s="10" t="n"/>
    </row>
    <row r="363">
      <c r="A363" s="9" t="n"/>
      <c r="B363" s="10" t="n"/>
      <c r="C363" s="10" t="n"/>
      <c r="D363" s="10" t="n"/>
      <c r="E363" s="10" t="n"/>
      <c r="F363" s="10" t="n"/>
      <c r="G363" s="10" t="n"/>
    </row>
    <row r="364">
      <c r="A364" s="9" t="n"/>
      <c r="B364" s="10" t="n"/>
      <c r="C364" s="10" t="n"/>
      <c r="D364" s="10" t="n"/>
      <c r="E364" s="10" t="n"/>
      <c r="F364" s="10" t="n"/>
      <c r="G364" s="10" t="n"/>
    </row>
    <row r="365">
      <c r="A365" s="9" t="n"/>
      <c r="B365" s="10" t="n"/>
      <c r="C365" s="10" t="n"/>
      <c r="D365" s="10" t="n"/>
      <c r="E365" s="10" t="n"/>
      <c r="F365" s="10" t="n"/>
      <c r="G365" s="10" t="n"/>
    </row>
    <row r="366">
      <c r="A366" s="9" t="n"/>
      <c r="B366" s="10" t="n"/>
      <c r="C366" s="10" t="n"/>
      <c r="D366" s="10" t="n"/>
      <c r="E366" s="10" t="n"/>
      <c r="F366" s="10" t="n"/>
      <c r="G366" s="10" t="n"/>
    </row>
    <row r="367">
      <c r="A367" s="9" t="n"/>
      <c r="B367" s="10" t="n"/>
      <c r="C367" s="10" t="n"/>
      <c r="D367" s="10" t="n"/>
      <c r="E367" s="10" t="n"/>
      <c r="F367" s="10" t="n"/>
      <c r="G367" s="10" t="n"/>
    </row>
    <row r="368">
      <c r="A368" s="9" t="n"/>
      <c r="B368" s="10" t="n"/>
      <c r="C368" s="10" t="n"/>
      <c r="D368" s="10" t="n"/>
      <c r="E368" s="10" t="n"/>
      <c r="F368" s="10" t="n"/>
      <c r="G368" s="10" t="n"/>
    </row>
    <row r="369">
      <c r="A369" s="9" t="n"/>
      <c r="B369" s="10" t="n"/>
      <c r="C369" s="10" t="n"/>
      <c r="D369" s="10" t="n"/>
      <c r="E369" s="10" t="n"/>
      <c r="F369" s="10" t="n"/>
      <c r="G369" s="10" t="n"/>
    </row>
    <row r="370">
      <c r="A370" s="9" t="n"/>
      <c r="B370" s="10" t="n"/>
      <c r="C370" s="10" t="n"/>
      <c r="D370" s="10" t="n"/>
      <c r="E370" s="10" t="n"/>
      <c r="F370" s="10" t="n"/>
      <c r="G370" s="10" t="n"/>
    </row>
    <row r="371">
      <c r="A371" s="9" t="n"/>
      <c r="B371" s="10" t="n"/>
      <c r="C371" s="10" t="n"/>
      <c r="D371" s="10" t="n"/>
      <c r="E371" s="10" t="n"/>
      <c r="F371" s="10" t="n"/>
      <c r="G371" s="10" t="n"/>
    </row>
    <row r="372">
      <c r="A372" s="9" t="n"/>
      <c r="B372" s="10" t="n"/>
      <c r="C372" s="10" t="n"/>
      <c r="D372" s="10" t="n"/>
      <c r="E372" s="10" t="n"/>
      <c r="F372" s="10" t="n"/>
      <c r="G372" s="10" t="n"/>
    </row>
    <row r="373">
      <c r="A373" s="9" t="n"/>
      <c r="B373" s="10" t="n"/>
      <c r="C373" s="10" t="n"/>
      <c r="D373" s="10" t="n"/>
      <c r="E373" s="10" t="n"/>
      <c r="F373" s="10" t="n"/>
      <c r="G373" s="10" t="n"/>
    </row>
    <row r="374">
      <c r="A374" s="9" t="n"/>
      <c r="B374" s="10" t="n"/>
      <c r="C374" s="10" t="n"/>
      <c r="D374" s="10" t="n"/>
      <c r="E374" s="10" t="n"/>
      <c r="F374" s="10" t="n"/>
      <c r="G374" s="10" t="n"/>
    </row>
    <row r="375">
      <c r="A375" s="9" t="n"/>
      <c r="B375" s="10" t="n"/>
      <c r="C375" s="10" t="n"/>
      <c r="D375" s="10" t="n"/>
      <c r="E375" s="10" t="n"/>
      <c r="F375" s="10" t="n"/>
      <c r="G375" s="10" t="n"/>
    </row>
    <row r="376">
      <c r="A376" s="9" t="n"/>
      <c r="B376" s="10" t="n"/>
      <c r="C376" s="10" t="n"/>
      <c r="D376" s="10" t="n"/>
      <c r="E376" s="10" t="n"/>
      <c r="F376" s="10" t="n"/>
      <c r="G376" s="10" t="n"/>
    </row>
    <row r="377">
      <c r="A377" s="9" t="n"/>
      <c r="B377" s="10" t="n"/>
      <c r="C377" s="10" t="n"/>
      <c r="D377" s="10" t="n"/>
      <c r="E377" s="10" t="n"/>
      <c r="F377" s="10" t="n"/>
      <c r="G377" s="10" t="n"/>
    </row>
    <row r="378">
      <c r="A378" s="9" t="n"/>
      <c r="B378" s="10" t="n"/>
      <c r="C378" s="10" t="n"/>
      <c r="D378" s="10" t="n"/>
      <c r="E378" s="10" t="n"/>
      <c r="F378" s="10" t="n"/>
      <c r="G378" s="10" t="n"/>
    </row>
    <row r="379">
      <c r="A379" s="9" t="n"/>
      <c r="B379" s="10" t="n"/>
      <c r="C379" s="10" t="n"/>
      <c r="D379" s="10" t="n"/>
      <c r="E379" s="10" t="n"/>
      <c r="F379" s="10" t="n"/>
      <c r="G379" s="10" t="n"/>
    </row>
    <row r="380">
      <c r="A380" s="9" t="n"/>
      <c r="B380" s="10" t="n"/>
      <c r="C380" s="10" t="n"/>
      <c r="D380" s="10" t="n"/>
      <c r="E380" s="10" t="n"/>
      <c r="F380" s="10" t="n"/>
      <c r="G380" s="10" t="n"/>
    </row>
    <row r="381">
      <c r="A381" s="9" t="n"/>
      <c r="B381" s="10" t="n"/>
      <c r="C381" s="10" t="n"/>
      <c r="D381" s="10" t="n"/>
      <c r="E381" s="10" t="n"/>
      <c r="F381" s="10" t="n"/>
      <c r="G381" s="10" t="n"/>
    </row>
    <row r="382">
      <c r="A382" s="9" t="n"/>
      <c r="B382" s="10" t="n"/>
      <c r="C382" s="10" t="n"/>
      <c r="D382" s="10" t="n"/>
      <c r="E382" s="10" t="n"/>
      <c r="F382" s="10" t="n"/>
      <c r="G382" s="10" t="n"/>
    </row>
    <row r="383">
      <c r="A383" s="9" t="n"/>
      <c r="B383" s="10" t="n"/>
      <c r="C383" s="10" t="n"/>
      <c r="D383" s="10" t="n"/>
      <c r="E383" s="10" t="n"/>
      <c r="F383" s="10" t="n"/>
      <c r="G383" s="10" t="n"/>
    </row>
    <row r="384">
      <c r="A384" s="9" t="n"/>
      <c r="B384" s="10" t="n"/>
      <c r="C384" s="10" t="n"/>
      <c r="D384" s="10" t="n"/>
      <c r="E384" s="10" t="n"/>
      <c r="F384" s="10" t="n"/>
      <c r="G384" s="10" t="n"/>
    </row>
    <row r="385">
      <c r="A385" s="9" t="n"/>
      <c r="B385" s="10" t="n"/>
      <c r="C385" s="10" t="n"/>
      <c r="D385" s="10" t="n"/>
      <c r="E385" s="10" t="n"/>
      <c r="F385" s="10" t="n"/>
      <c r="G385" s="10" t="n"/>
    </row>
    <row r="386">
      <c r="A386" s="9" t="n"/>
      <c r="B386" s="10" t="n"/>
      <c r="C386" s="10" t="n"/>
      <c r="D386" s="10" t="n"/>
      <c r="E386" s="10" t="n"/>
      <c r="F386" s="10" t="n"/>
      <c r="G386" s="10" t="n"/>
    </row>
    <row r="387">
      <c r="A387" s="9" t="n"/>
      <c r="B387" s="10" t="n"/>
      <c r="C387" s="10" t="n"/>
      <c r="D387" s="10" t="n"/>
      <c r="E387" s="10" t="n"/>
      <c r="F387" s="10" t="n"/>
      <c r="G387" s="10" t="n"/>
    </row>
    <row r="388">
      <c r="A388" s="9" t="n"/>
      <c r="B388" s="10" t="n"/>
      <c r="C388" s="10" t="n"/>
      <c r="D388" s="10" t="n"/>
      <c r="E388" s="10" t="n"/>
      <c r="F388" s="10" t="n"/>
      <c r="G388" s="10" t="n"/>
    </row>
    <row r="389">
      <c r="A389" s="9" t="n"/>
      <c r="B389" s="10" t="n"/>
      <c r="C389" s="10" t="n"/>
      <c r="D389" s="10" t="n"/>
      <c r="E389" s="10" t="n"/>
      <c r="F389" s="10" t="n"/>
      <c r="G389" s="10" t="n"/>
    </row>
    <row r="390">
      <c r="A390" s="9" t="n"/>
      <c r="B390" s="10" t="n"/>
      <c r="C390" s="10" t="n"/>
      <c r="D390" s="10" t="n"/>
      <c r="E390" s="10" t="n"/>
      <c r="F390" s="10" t="n"/>
      <c r="G390" s="10" t="n"/>
    </row>
    <row r="391">
      <c r="A391" s="9" t="n"/>
      <c r="B391" s="10" t="n"/>
      <c r="C391" s="10" t="n"/>
      <c r="D391" s="10" t="n"/>
      <c r="E391" s="10" t="n"/>
      <c r="F391" s="10" t="n"/>
      <c r="G391" s="10" t="n"/>
    </row>
    <row r="392">
      <c r="A392" s="9" t="n"/>
      <c r="B392" s="10" t="n"/>
      <c r="C392" s="10" t="n"/>
      <c r="D392" s="10" t="n"/>
      <c r="E392" s="10" t="n"/>
      <c r="F392" s="10" t="n"/>
      <c r="G392" s="10" t="n"/>
    </row>
    <row r="393">
      <c r="A393" s="9" t="n"/>
      <c r="B393" s="10" t="n"/>
      <c r="C393" s="10" t="n"/>
      <c r="D393" s="10" t="n"/>
      <c r="E393" s="10" t="n"/>
      <c r="F393" s="10" t="n"/>
      <c r="G393" s="10" t="n"/>
    </row>
    <row r="394">
      <c r="A394" s="9" t="n"/>
      <c r="B394" s="10" t="n"/>
      <c r="C394" s="10" t="n"/>
      <c r="D394" s="10" t="n"/>
      <c r="E394" s="10" t="n"/>
      <c r="F394" s="10" t="n"/>
      <c r="G394" s="10" t="n"/>
    </row>
    <row r="395">
      <c r="A395" s="9" t="n"/>
      <c r="B395" s="10" t="n"/>
      <c r="C395" s="10" t="n"/>
      <c r="D395" s="10" t="n"/>
      <c r="E395" s="10" t="n"/>
      <c r="F395" s="10" t="n"/>
      <c r="G395" s="10" t="n"/>
    </row>
    <row r="396">
      <c r="A396" s="9" t="n"/>
      <c r="B396" s="10" t="n"/>
      <c r="C396" s="10" t="n"/>
      <c r="D396" s="10" t="n"/>
      <c r="E396" s="10" t="n"/>
      <c r="F396" s="10" t="n"/>
      <c r="G396" s="10" t="n"/>
    </row>
    <row r="397">
      <c r="A397" s="9" t="n"/>
      <c r="B397" s="10" t="n"/>
      <c r="C397" s="10" t="n"/>
      <c r="D397" s="10" t="n"/>
      <c r="E397" s="10" t="n"/>
      <c r="F397" s="10" t="n"/>
      <c r="G397" s="10" t="n"/>
    </row>
    <row r="398">
      <c r="A398" s="9" t="n"/>
      <c r="B398" s="10" t="n"/>
      <c r="C398" s="10" t="n"/>
      <c r="D398" s="10" t="n"/>
      <c r="E398" s="10" t="n"/>
      <c r="F398" s="10" t="n"/>
      <c r="G398" s="10" t="n"/>
    </row>
    <row r="399">
      <c r="A399" s="9" t="n"/>
      <c r="B399" s="10" t="n"/>
      <c r="C399" s="10" t="n"/>
      <c r="D399" s="10" t="n"/>
      <c r="E399" s="10" t="n"/>
      <c r="F399" s="10" t="n"/>
      <c r="G399" s="10" t="n"/>
    </row>
    <row r="400">
      <c r="A400" s="9" t="n"/>
      <c r="B400" s="10" t="n"/>
      <c r="C400" s="10" t="n"/>
      <c r="D400" s="10" t="n"/>
      <c r="E400" s="10" t="n"/>
      <c r="F400" s="10" t="n"/>
      <c r="G400" s="10" t="n"/>
    </row>
    <row r="401">
      <c r="A401" s="9" t="n"/>
      <c r="B401" s="10" t="n"/>
      <c r="C401" s="10" t="n"/>
      <c r="D401" s="10" t="n"/>
      <c r="E401" s="10" t="n"/>
      <c r="F401" s="10" t="n"/>
      <c r="G401" s="10" t="n"/>
    </row>
    <row r="402">
      <c r="A402" s="9" t="n"/>
      <c r="B402" s="10" t="n"/>
      <c r="C402" s="10" t="n"/>
      <c r="D402" s="10" t="n"/>
      <c r="E402" s="10" t="n"/>
      <c r="F402" s="10" t="n"/>
      <c r="G402" s="10" t="n"/>
    </row>
    <row r="403">
      <c r="A403" s="9" t="n"/>
      <c r="B403" s="10" t="n"/>
      <c r="C403" s="10" t="n"/>
      <c r="D403" s="10" t="n"/>
      <c r="E403" s="10" t="n"/>
      <c r="F403" s="10" t="n"/>
      <c r="G403" s="10" t="n"/>
    </row>
    <row r="404">
      <c r="A404" s="9" t="n"/>
      <c r="B404" s="10" t="n"/>
      <c r="C404" s="10" t="n"/>
      <c r="D404" s="10" t="n"/>
      <c r="E404" s="10" t="n"/>
      <c r="F404" s="10" t="n"/>
      <c r="G404" s="10" t="n"/>
    </row>
    <row r="405">
      <c r="A405" s="9" t="n"/>
      <c r="B405" s="10" t="n"/>
      <c r="C405" s="10" t="n"/>
      <c r="D405" s="10" t="n"/>
      <c r="E405" s="10" t="n"/>
      <c r="F405" s="10" t="n"/>
      <c r="G405" s="10" t="n"/>
    </row>
    <row r="406">
      <c r="A406" s="9" t="n"/>
      <c r="B406" s="10" t="n"/>
      <c r="C406" s="10" t="n"/>
      <c r="D406" s="10" t="n"/>
      <c r="E406" s="10" t="n"/>
      <c r="F406" s="10" t="n"/>
      <c r="G406" s="10" t="n"/>
    </row>
    <row r="407">
      <c r="A407" s="9" t="n"/>
      <c r="B407" s="10" t="n"/>
      <c r="C407" s="10" t="n"/>
      <c r="D407" s="10" t="n"/>
      <c r="E407" s="10" t="n"/>
      <c r="F407" s="10" t="n"/>
      <c r="G407" s="10" t="n"/>
    </row>
    <row r="408">
      <c r="A408" s="9" t="n"/>
      <c r="B408" s="10" t="n"/>
      <c r="C408" s="10" t="n"/>
      <c r="D408" s="10" t="n"/>
      <c r="E408" s="10" t="n"/>
      <c r="F408" s="10" t="n"/>
      <c r="G408" s="10" t="n"/>
    </row>
    <row r="409">
      <c r="A409" s="9" t="n"/>
      <c r="B409" s="10" t="n"/>
      <c r="C409" s="10" t="n"/>
      <c r="D409" s="10" t="n"/>
      <c r="E409" s="10" t="n"/>
      <c r="F409" s="10" t="n"/>
      <c r="G409" s="10" t="n"/>
    </row>
    <row r="410">
      <c r="A410" s="9" t="n"/>
      <c r="B410" s="10" t="n"/>
      <c r="C410" s="10" t="n"/>
      <c r="D410" s="10" t="n"/>
      <c r="E410" s="10" t="n"/>
      <c r="F410" s="10" t="n"/>
      <c r="G410" s="10" t="n"/>
    </row>
    <row r="411">
      <c r="A411" s="9" t="n"/>
      <c r="B411" s="10" t="n"/>
      <c r="C411" s="10" t="n"/>
      <c r="D411" s="10" t="n"/>
      <c r="E411" s="10" t="n"/>
      <c r="F411" s="10" t="n"/>
      <c r="G411" s="10" t="n"/>
    </row>
    <row r="412">
      <c r="A412" s="9" t="n"/>
      <c r="B412" s="10" t="n"/>
      <c r="C412" s="10" t="n"/>
      <c r="D412" s="10" t="n"/>
      <c r="E412" s="10" t="n"/>
      <c r="F412" s="10" t="n"/>
      <c r="G412" s="10" t="n"/>
    </row>
    <row r="413">
      <c r="A413" s="9" t="n"/>
      <c r="B413" s="10" t="n"/>
      <c r="C413" s="10" t="n"/>
      <c r="D413" s="10" t="n"/>
      <c r="E413" s="10" t="n"/>
      <c r="F413" s="10" t="n"/>
      <c r="G413" s="10" t="n"/>
    </row>
    <row r="414">
      <c r="A414" s="9" t="n"/>
      <c r="B414" s="10" t="n"/>
      <c r="C414" s="10" t="n"/>
      <c r="D414" s="10" t="n"/>
      <c r="E414" s="10" t="n"/>
      <c r="F414" s="10" t="n"/>
      <c r="G414" s="10" t="n"/>
    </row>
    <row r="415">
      <c r="A415" s="9" t="n"/>
      <c r="B415" s="10" t="n"/>
      <c r="C415" s="10" t="n"/>
      <c r="D415" s="10" t="n"/>
      <c r="E415" s="10" t="n"/>
      <c r="F415" s="10" t="n"/>
      <c r="G415" s="10" t="n"/>
    </row>
    <row r="416">
      <c r="A416" s="9" t="n"/>
      <c r="B416" s="10" t="n"/>
      <c r="C416" s="10" t="n"/>
      <c r="D416" s="10" t="n"/>
      <c r="E416" s="10" t="n"/>
      <c r="F416" s="10" t="n"/>
      <c r="G416" s="10" t="n"/>
    </row>
    <row r="417">
      <c r="A417" s="9" t="n"/>
      <c r="B417" s="10" t="n"/>
      <c r="C417" s="10" t="n"/>
      <c r="D417" s="10" t="n"/>
      <c r="E417" s="10" t="n"/>
      <c r="F417" s="10" t="n"/>
      <c r="G417" s="10" t="n"/>
    </row>
    <row r="418">
      <c r="A418" s="9" t="n"/>
      <c r="B418" s="10" t="n"/>
      <c r="C418" s="10" t="n"/>
      <c r="D418" s="10" t="n"/>
      <c r="E418" s="10" t="n"/>
      <c r="F418" s="10" t="n"/>
      <c r="G418" s="10" t="n"/>
    </row>
    <row r="419">
      <c r="A419" s="9" t="n"/>
      <c r="B419" s="10" t="n"/>
      <c r="C419" s="10" t="n"/>
      <c r="D419" s="10" t="n"/>
      <c r="E419" s="10" t="n"/>
      <c r="F419" s="10" t="n"/>
      <c r="G419" s="10" t="n"/>
    </row>
    <row r="420">
      <c r="A420" s="9" t="n"/>
      <c r="B420" s="10" t="n"/>
      <c r="C420" s="10" t="n"/>
      <c r="D420" s="10" t="n"/>
      <c r="E420" s="10" t="n"/>
      <c r="F420" s="10" t="n"/>
      <c r="G420" s="10" t="n"/>
    </row>
    <row r="421">
      <c r="A421" s="9" t="n"/>
      <c r="B421" s="10" t="n"/>
      <c r="C421" s="10" t="n"/>
      <c r="D421" s="10" t="n"/>
      <c r="E421" s="10" t="n"/>
      <c r="F421" s="10" t="n"/>
      <c r="G421" s="10" t="n"/>
    </row>
    <row r="422">
      <c r="A422" s="9" t="n"/>
      <c r="B422" s="10" t="n"/>
      <c r="C422" s="10" t="n"/>
      <c r="D422" s="10" t="n"/>
      <c r="E422" s="10" t="n"/>
      <c r="F422" s="10" t="n"/>
      <c r="G422" s="10" t="n"/>
    </row>
    <row r="423">
      <c r="A423" s="9" t="n"/>
      <c r="B423" s="10" t="n"/>
      <c r="C423" s="10" t="n"/>
      <c r="D423" s="10" t="n"/>
      <c r="E423" s="10" t="n"/>
      <c r="F423" s="10" t="n"/>
      <c r="G423" s="10" t="n"/>
    </row>
    <row r="424">
      <c r="A424" s="9" t="n"/>
      <c r="B424" s="10" t="n"/>
      <c r="C424" s="10" t="n"/>
      <c r="D424" s="10" t="n"/>
      <c r="E424" s="10" t="n"/>
      <c r="F424" s="10" t="n"/>
      <c r="G424" s="10" t="n"/>
    </row>
    <row r="425">
      <c r="A425" s="9" t="n"/>
      <c r="B425" s="10" t="n"/>
      <c r="C425" s="10" t="n"/>
      <c r="D425" s="10" t="n"/>
      <c r="E425" s="10" t="n"/>
      <c r="F425" s="10" t="n"/>
      <c r="G425" s="10" t="n"/>
    </row>
    <row r="426">
      <c r="A426" s="9" t="n"/>
      <c r="B426" s="10" t="n"/>
      <c r="C426" s="10" t="n"/>
      <c r="D426" s="10" t="n"/>
      <c r="E426" s="10" t="n"/>
      <c r="F426" s="10" t="n"/>
      <c r="G426" s="10" t="n"/>
    </row>
    <row r="427">
      <c r="A427" s="9" t="n"/>
      <c r="B427" s="10" t="n"/>
      <c r="C427" s="10" t="n"/>
      <c r="D427" s="10" t="n"/>
      <c r="E427" s="10" t="n"/>
      <c r="F427" s="10" t="n"/>
      <c r="G427" s="10" t="n"/>
    </row>
    <row r="428">
      <c r="A428" s="9" t="n"/>
      <c r="B428" s="10" t="n"/>
      <c r="C428" s="10" t="n"/>
      <c r="D428" s="10" t="n"/>
      <c r="E428" s="10" t="n"/>
      <c r="F428" s="10" t="n"/>
      <c r="G428" s="10" t="n"/>
    </row>
    <row r="429">
      <c r="A429" s="9" t="n"/>
      <c r="B429" s="10" t="n"/>
      <c r="C429" s="10" t="n"/>
      <c r="D429" s="10" t="n"/>
      <c r="E429" s="10" t="n"/>
      <c r="F429" s="10" t="n"/>
      <c r="G429" s="10" t="n"/>
    </row>
    <row r="430">
      <c r="A430" s="9" t="n"/>
      <c r="B430" s="10" t="n"/>
      <c r="C430" s="10" t="n"/>
      <c r="D430" s="10" t="n"/>
      <c r="E430" s="10" t="n"/>
      <c r="F430" s="10" t="n"/>
      <c r="G430" s="10" t="n"/>
    </row>
    <row r="431">
      <c r="A431" s="9" t="n"/>
      <c r="B431" s="10" t="n"/>
      <c r="C431" s="10" t="n"/>
      <c r="D431" s="10" t="n"/>
      <c r="E431" s="10" t="n"/>
      <c r="F431" s="10" t="n"/>
      <c r="G431" s="10" t="n"/>
    </row>
    <row r="432">
      <c r="A432" s="9" t="n"/>
      <c r="B432" s="10" t="n"/>
      <c r="C432" s="10" t="n"/>
      <c r="D432" s="10" t="n"/>
      <c r="E432" s="10" t="n"/>
      <c r="F432" s="10" t="n"/>
      <c r="G432" s="10" t="n"/>
    </row>
    <row r="433">
      <c r="A433" s="9" t="n"/>
      <c r="B433" s="10" t="n"/>
      <c r="C433" s="10" t="n"/>
      <c r="D433" s="10" t="n"/>
      <c r="E433" s="10" t="n"/>
      <c r="F433" s="10" t="n"/>
      <c r="G433" s="10" t="n"/>
    </row>
    <row r="434">
      <c r="A434" s="9" t="n"/>
      <c r="B434" s="10" t="n"/>
      <c r="C434" s="10" t="n"/>
      <c r="D434" s="10" t="n"/>
      <c r="E434" s="10" t="n"/>
      <c r="F434" s="10" t="n"/>
      <c r="G434" s="10" t="n"/>
    </row>
    <row r="435">
      <c r="A435" s="9" t="n"/>
      <c r="B435" s="10" t="n"/>
      <c r="C435" s="10" t="n"/>
      <c r="D435" s="10" t="n"/>
      <c r="E435" s="10" t="n"/>
      <c r="F435" s="10" t="n"/>
      <c r="G435" s="10" t="n"/>
    </row>
    <row r="436">
      <c r="A436" s="9" t="n"/>
      <c r="B436" s="10" t="n"/>
      <c r="C436" s="10" t="n"/>
      <c r="D436" s="10" t="n"/>
      <c r="E436" s="10" t="n"/>
      <c r="F436" s="10" t="n"/>
      <c r="G436" s="10" t="n"/>
    </row>
    <row r="437">
      <c r="A437" s="9" t="n"/>
      <c r="B437" s="10" t="n"/>
      <c r="C437" s="10" t="n"/>
      <c r="D437" s="10" t="n"/>
      <c r="E437" s="10" t="n"/>
      <c r="F437" s="10" t="n"/>
      <c r="G437" s="10" t="n"/>
    </row>
    <row r="438">
      <c r="A438" s="9" t="n"/>
      <c r="B438" s="10" t="n"/>
      <c r="C438" s="10" t="n"/>
      <c r="D438" s="10" t="n"/>
      <c r="E438" s="10" t="n"/>
      <c r="F438" s="10" t="n"/>
      <c r="G438" s="10" t="n"/>
    </row>
    <row r="439">
      <c r="A439" s="9" t="n"/>
      <c r="B439" s="10" t="n"/>
      <c r="C439" s="10" t="n"/>
      <c r="D439" s="10" t="n"/>
      <c r="E439" s="10" t="n"/>
      <c r="F439" s="10" t="n"/>
      <c r="G439" s="10" t="n"/>
    </row>
    <row r="440">
      <c r="A440" s="9" t="n"/>
      <c r="B440" s="10" t="n"/>
      <c r="C440" s="10" t="n"/>
      <c r="D440" s="10" t="n"/>
      <c r="E440" s="10" t="n"/>
      <c r="F440" s="10" t="n"/>
      <c r="G440" s="10" t="n"/>
    </row>
    <row r="441">
      <c r="A441" s="9" t="n"/>
      <c r="B441" s="10" t="n"/>
      <c r="C441" s="10" t="n"/>
      <c r="D441" s="10" t="n"/>
      <c r="E441" s="10" t="n"/>
      <c r="F441" s="10" t="n"/>
      <c r="G441" s="10" t="n"/>
    </row>
    <row r="442">
      <c r="A442" s="9" t="n"/>
      <c r="B442" s="10" t="n"/>
      <c r="C442" s="10" t="n"/>
      <c r="D442" s="10" t="n"/>
      <c r="E442" s="10" t="n"/>
      <c r="F442" s="10" t="n"/>
      <c r="G442" s="10" t="n"/>
    </row>
    <row r="443">
      <c r="A443" s="9" t="n"/>
      <c r="B443" s="10" t="n"/>
      <c r="C443" s="10" t="n"/>
      <c r="D443" s="10" t="n"/>
      <c r="E443" s="10" t="n"/>
      <c r="F443" s="10" t="n"/>
      <c r="G443" s="10" t="n"/>
    </row>
    <row r="444">
      <c r="A444" s="9" t="n"/>
      <c r="B444" s="10" t="n"/>
      <c r="C444" s="10" t="n"/>
      <c r="D444" s="10" t="n"/>
      <c r="E444" s="10" t="n"/>
      <c r="F444" s="10" t="n"/>
      <c r="G444" s="10" t="n"/>
    </row>
    <row r="445">
      <c r="A445" s="9" t="n"/>
      <c r="B445" s="10" t="n"/>
      <c r="C445" s="10" t="n"/>
      <c r="D445" s="10" t="n"/>
      <c r="E445" s="10" t="n"/>
      <c r="F445" s="10" t="n"/>
      <c r="G445" s="10" t="n"/>
    </row>
    <row r="446">
      <c r="A446" s="9" t="n"/>
      <c r="B446" s="10" t="n"/>
      <c r="C446" s="10" t="n"/>
      <c r="D446" s="10" t="n"/>
      <c r="E446" s="10" t="n"/>
      <c r="F446" s="10" t="n"/>
      <c r="G446" s="10" t="n"/>
    </row>
    <row r="447">
      <c r="A447" s="9" t="n"/>
      <c r="B447" s="10" t="n"/>
      <c r="C447" s="10" t="n"/>
      <c r="D447" s="10" t="n"/>
      <c r="E447" s="10" t="n"/>
      <c r="F447" s="10" t="n"/>
      <c r="G447" s="10" t="n"/>
    </row>
    <row r="448">
      <c r="A448" s="9" t="n"/>
      <c r="B448" s="10" t="n"/>
      <c r="C448" s="10" t="n"/>
      <c r="D448" s="10" t="n"/>
      <c r="E448" s="10" t="n"/>
      <c r="F448" s="10" t="n"/>
      <c r="G448" s="10" t="n"/>
    </row>
    <row r="449">
      <c r="A449" s="9" t="n"/>
      <c r="B449" s="10" t="n"/>
      <c r="C449" s="10" t="n"/>
      <c r="D449" s="10" t="n"/>
      <c r="E449" s="10" t="n"/>
      <c r="F449" s="10" t="n"/>
      <c r="G449" s="10" t="n"/>
    </row>
    <row r="450">
      <c r="A450" s="9" t="n"/>
      <c r="B450" s="10" t="n"/>
      <c r="C450" s="10" t="n"/>
      <c r="D450" s="10" t="n"/>
      <c r="E450" s="10" t="n"/>
      <c r="F450" s="10" t="n"/>
      <c r="G450" s="10" t="n"/>
    </row>
    <row r="451">
      <c r="A451" s="9" t="n"/>
      <c r="B451" s="10" t="n"/>
      <c r="C451" s="10" t="n"/>
      <c r="D451" s="10" t="n"/>
      <c r="E451" s="10" t="n"/>
      <c r="F451" s="10" t="n"/>
      <c r="G451" s="10" t="n"/>
    </row>
    <row r="452">
      <c r="A452" s="9" t="n"/>
      <c r="B452" s="10" t="n"/>
      <c r="C452" s="10" t="n"/>
      <c r="D452" s="10" t="n"/>
      <c r="E452" s="10" t="n"/>
      <c r="F452" s="10" t="n"/>
      <c r="G452" s="10" t="n"/>
    </row>
    <row r="453">
      <c r="A453" s="9" t="n"/>
      <c r="B453" s="10" t="n"/>
      <c r="C453" s="10" t="n"/>
      <c r="D453" s="10" t="n"/>
      <c r="E453" s="10" t="n"/>
      <c r="F453" s="10" t="n"/>
      <c r="G453" s="10" t="n"/>
    </row>
    <row r="454">
      <c r="A454" s="9" t="n"/>
      <c r="B454" s="10" t="n"/>
      <c r="C454" s="10" t="n"/>
      <c r="D454" s="10" t="n"/>
      <c r="E454" s="10" t="n"/>
      <c r="F454" s="10" t="n"/>
      <c r="G454" s="10" t="n"/>
    </row>
    <row r="455">
      <c r="A455" s="9" t="n"/>
      <c r="B455" s="10" t="n"/>
      <c r="C455" s="10" t="n"/>
      <c r="D455" s="10" t="n"/>
      <c r="E455" s="10" t="n"/>
      <c r="F455" s="10" t="n"/>
      <c r="G455" s="10" t="n"/>
    </row>
    <row r="456">
      <c r="A456" s="9" t="n"/>
      <c r="B456" s="10" t="n"/>
      <c r="C456" s="10" t="n"/>
      <c r="D456" s="10" t="n"/>
      <c r="E456" s="10" t="n"/>
      <c r="F456" s="10" t="n"/>
      <c r="G456" s="10" t="n"/>
    </row>
    <row r="457">
      <c r="A457" s="9" t="n"/>
      <c r="B457" s="10" t="n"/>
      <c r="C457" s="10" t="n"/>
      <c r="D457" s="10" t="n"/>
      <c r="E457" s="10" t="n"/>
      <c r="F457" s="10" t="n"/>
      <c r="G457" s="10" t="n"/>
    </row>
    <row r="458">
      <c r="A458" s="9" t="n"/>
      <c r="B458" s="10" t="n"/>
      <c r="C458" s="10" t="n"/>
      <c r="D458" s="10" t="n"/>
      <c r="E458" s="10" t="n"/>
      <c r="F458" s="10" t="n"/>
      <c r="G458" s="10" t="n"/>
    </row>
    <row r="459">
      <c r="A459" s="9" t="n"/>
      <c r="B459" s="10" t="n"/>
      <c r="C459" s="10" t="n"/>
      <c r="D459" s="10" t="n"/>
      <c r="E459" s="10" t="n"/>
      <c r="F459" s="10" t="n"/>
      <c r="G459" s="10" t="n"/>
    </row>
    <row r="460">
      <c r="A460" s="9" t="n"/>
      <c r="B460" s="10" t="n"/>
      <c r="C460" s="10" t="n"/>
      <c r="D460" s="10" t="n"/>
      <c r="E460" s="10" t="n"/>
      <c r="F460" s="10" t="n"/>
      <c r="G460" s="10" t="n"/>
    </row>
    <row r="461">
      <c r="A461" s="9" t="n"/>
      <c r="B461" s="10" t="n"/>
      <c r="C461" s="10" t="n"/>
      <c r="D461" s="10" t="n"/>
      <c r="E461" s="10" t="n"/>
      <c r="F461" s="10" t="n"/>
      <c r="G461" s="10" t="n"/>
    </row>
    <row r="462">
      <c r="A462" s="9" t="n"/>
      <c r="B462" s="10" t="n"/>
      <c r="C462" s="10" t="n"/>
      <c r="D462" s="10" t="n"/>
      <c r="E462" s="10" t="n"/>
      <c r="F462" s="10" t="n"/>
      <c r="G462" s="10" t="n"/>
    </row>
    <row r="463">
      <c r="A463" s="9" t="n"/>
      <c r="B463" s="10" t="n"/>
      <c r="C463" s="10" t="n"/>
      <c r="D463" s="10" t="n"/>
      <c r="E463" s="10" t="n"/>
      <c r="F463" s="10" t="n"/>
      <c r="G463" s="10" t="n"/>
    </row>
    <row r="464">
      <c r="A464" s="9" t="n"/>
      <c r="B464" s="10" t="n"/>
      <c r="C464" s="10" t="n"/>
      <c r="D464" s="10" t="n"/>
      <c r="E464" s="10" t="n"/>
      <c r="F464" s="10" t="n"/>
      <c r="G464" s="10" t="n"/>
    </row>
    <row r="465">
      <c r="A465" s="9" t="n"/>
      <c r="B465" s="10" t="n"/>
      <c r="C465" s="10" t="n"/>
      <c r="D465" s="10" t="n"/>
      <c r="E465" s="10" t="n"/>
      <c r="F465" s="10" t="n"/>
      <c r="G465" s="10" t="n"/>
    </row>
    <row r="466">
      <c r="A466" s="9" t="n"/>
      <c r="B466" s="10" t="n"/>
      <c r="C466" s="10" t="n"/>
      <c r="D466" s="10" t="n"/>
      <c r="E466" s="10" t="n"/>
      <c r="F466" s="10" t="n"/>
      <c r="G466" s="10" t="n"/>
    </row>
    <row r="467">
      <c r="A467" s="9" t="n"/>
      <c r="B467" s="10" t="n"/>
      <c r="C467" s="10" t="n"/>
      <c r="D467" s="10" t="n"/>
      <c r="E467" s="10" t="n"/>
      <c r="F467" s="10" t="n"/>
      <c r="G467" s="10" t="n"/>
    </row>
    <row r="468">
      <c r="A468" s="9" t="n"/>
      <c r="B468" s="10" t="n"/>
      <c r="C468" s="10" t="n"/>
      <c r="D468" s="10" t="n"/>
      <c r="E468" s="10" t="n"/>
      <c r="F468" s="10" t="n"/>
      <c r="G468" s="10" t="n"/>
    </row>
    <row r="469">
      <c r="A469" s="9" t="n"/>
      <c r="B469" s="10" t="n"/>
      <c r="C469" s="10" t="n"/>
      <c r="D469" s="10" t="n"/>
      <c r="E469" s="10" t="n"/>
      <c r="F469" s="10" t="n"/>
      <c r="G469" s="10" t="n"/>
    </row>
    <row r="470">
      <c r="A470" s="9" t="n"/>
      <c r="B470" s="10" t="n"/>
      <c r="C470" s="10" t="n"/>
      <c r="D470" s="10" t="n"/>
      <c r="E470" s="10" t="n"/>
      <c r="F470" s="10" t="n"/>
      <c r="G470" s="10" t="n"/>
    </row>
    <row r="471">
      <c r="A471" s="9" t="n"/>
      <c r="B471" s="10" t="n"/>
      <c r="C471" s="10" t="n"/>
      <c r="D471" s="10" t="n"/>
      <c r="E471" s="10" t="n"/>
      <c r="F471" s="10" t="n"/>
      <c r="G471" s="10" t="n"/>
    </row>
    <row r="472">
      <c r="A472" s="9" t="n"/>
      <c r="B472" s="10" t="n"/>
      <c r="C472" s="10" t="n"/>
      <c r="D472" s="10" t="n"/>
      <c r="E472" s="10" t="n"/>
      <c r="F472" s="10" t="n"/>
      <c r="G472" s="10" t="n"/>
    </row>
    <row r="473">
      <c r="A473" s="9" t="n"/>
      <c r="B473" s="10" t="n"/>
      <c r="C473" s="10" t="n"/>
      <c r="D473" s="10" t="n"/>
      <c r="E473" s="10" t="n"/>
      <c r="F473" s="10" t="n"/>
      <c r="G473" s="10" t="n"/>
    </row>
    <row r="474">
      <c r="A474" s="9" t="n"/>
      <c r="B474" s="10" t="n"/>
      <c r="C474" s="10" t="n"/>
      <c r="D474" s="10" t="n"/>
      <c r="E474" s="10" t="n"/>
      <c r="F474" s="10" t="n"/>
      <c r="G474" s="10" t="n"/>
    </row>
    <row r="475">
      <c r="A475" s="9" t="n"/>
      <c r="B475" s="10" t="n"/>
      <c r="C475" s="10" t="n"/>
      <c r="D475" s="10" t="n"/>
      <c r="E475" s="10" t="n"/>
      <c r="F475" s="10" t="n"/>
      <c r="G475" s="10" t="n"/>
    </row>
    <row r="476">
      <c r="A476" s="9" t="n"/>
      <c r="B476" s="10" t="n"/>
      <c r="C476" s="10" t="n"/>
      <c r="D476" s="10" t="n"/>
      <c r="E476" s="10" t="n"/>
      <c r="F476" s="10" t="n"/>
      <c r="G476" s="10" t="n"/>
    </row>
    <row r="477">
      <c r="A477" s="9" t="n"/>
      <c r="B477" s="10" t="n"/>
      <c r="C477" s="10" t="n"/>
      <c r="D477" s="10" t="n"/>
      <c r="E477" s="10" t="n"/>
      <c r="F477" s="10" t="n"/>
      <c r="G477" s="10" t="n"/>
    </row>
    <row r="478">
      <c r="A478" s="9" t="n"/>
      <c r="B478" s="10" t="n"/>
      <c r="C478" s="10" t="n"/>
      <c r="D478" s="10" t="n"/>
      <c r="E478" s="10" t="n"/>
      <c r="F478" s="10" t="n"/>
      <c r="G478" s="10" t="n"/>
    </row>
    <row r="479">
      <c r="A479" s="9" t="n"/>
      <c r="B479" s="10" t="n"/>
      <c r="C479" s="10" t="n"/>
      <c r="D479" s="10" t="n"/>
      <c r="E479" s="10" t="n"/>
      <c r="F479" s="10" t="n"/>
      <c r="G479" s="10" t="n"/>
    </row>
    <row r="480">
      <c r="A480" s="9" t="n"/>
      <c r="B480" s="10" t="n"/>
      <c r="C480" s="10" t="n"/>
      <c r="D480" s="10" t="n"/>
      <c r="E480" s="10" t="n"/>
      <c r="F480" s="10" t="n"/>
      <c r="G480" s="10" t="n"/>
    </row>
    <row r="481">
      <c r="A481" s="9" t="n"/>
      <c r="B481" s="10" t="n"/>
      <c r="C481" s="10" t="n"/>
      <c r="D481" s="10" t="n"/>
      <c r="E481" s="10" t="n"/>
      <c r="F481" s="10" t="n"/>
      <c r="G481" s="10" t="n"/>
    </row>
    <row r="482">
      <c r="A482" s="9" t="n"/>
      <c r="B482" s="10" t="n"/>
      <c r="C482" s="10" t="n"/>
      <c r="D482" s="10" t="n"/>
      <c r="E482" s="10" t="n"/>
      <c r="F482" s="10" t="n"/>
      <c r="G482" s="10" t="n"/>
    </row>
    <row r="483">
      <c r="A483" s="9" t="n"/>
      <c r="B483" s="10" t="n"/>
      <c r="C483" s="10" t="n"/>
      <c r="D483" s="10" t="n"/>
      <c r="E483" s="10" t="n"/>
      <c r="F483" s="10" t="n"/>
      <c r="G483" s="10" t="n"/>
    </row>
    <row r="484">
      <c r="A484" s="9" t="n"/>
      <c r="B484" s="10" t="n"/>
      <c r="C484" s="10" t="n"/>
      <c r="D484" s="10" t="n"/>
      <c r="E484" s="10" t="n"/>
      <c r="F484" s="10" t="n"/>
      <c r="G484" s="10" t="n"/>
    </row>
    <row r="485">
      <c r="A485" s="9" t="n"/>
      <c r="B485" s="10" t="n"/>
      <c r="C485" s="10" t="n"/>
      <c r="D485" s="10" t="n"/>
      <c r="E485" s="10" t="n"/>
      <c r="F485" s="10" t="n"/>
      <c r="G485" s="10" t="n"/>
    </row>
    <row r="486">
      <c r="A486" s="9" t="n"/>
      <c r="B486" s="10" t="n"/>
      <c r="C486" s="10" t="n"/>
      <c r="D486" s="10" t="n"/>
      <c r="E486" s="10" t="n"/>
      <c r="F486" s="10" t="n"/>
      <c r="G486" s="10" t="n"/>
    </row>
    <row r="487">
      <c r="A487" s="9" t="n"/>
      <c r="B487" s="10" t="n"/>
      <c r="C487" s="10" t="n"/>
      <c r="D487" s="10" t="n"/>
      <c r="E487" s="10" t="n"/>
      <c r="F487" s="10" t="n"/>
      <c r="G487" s="10" t="n"/>
    </row>
    <row r="488">
      <c r="A488" s="9" t="n"/>
      <c r="B488" s="10" t="n"/>
      <c r="C488" s="10" t="n"/>
      <c r="D488" s="10" t="n"/>
      <c r="E488" s="10" t="n"/>
      <c r="F488" s="10" t="n"/>
      <c r="G488" s="10" t="n"/>
    </row>
    <row r="489">
      <c r="A489" s="9" t="n"/>
      <c r="B489" s="10" t="n"/>
      <c r="C489" s="10" t="n"/>
      <c r="D489" s="10" t="n"/>
      <c r="E489" s="10" t="n"/>
      <c r="F489" s="10" t="n"/>
      <c r="G489" s="10" t="n"/>
    </row>
    <row r="490">
      <c r="A490" s="9" t="n"/>
      <c r="B490" s="10" t="n"/>
      <c r="C490" s="10" t="n"/>
      <c r="D490" s="10" t="n"/>
      <c r="E490" s="10" t="n"/>
      <c r="F490" s="10" t="n"/>
      <c r="G490" s="10" t="n"/>
    </row>
    <row r="491">
      <c r="A491" s="9" t="n"/>
      <c r="B491" s="10" t="n"/>
      <c r="C491" s="10" t="n"/>
      <c r="D491" s="10" t="n"/>
      <c r="E491" s="10" t="n"/>
      <c r="F491" s="10" t="n"/>
      <c r="G491" s="10" t="n"/>
    </row>
    <row r="492">
      <c r="A492" s="9" t="n"/>
      <c r="B492" s="10" t="n"/>
      <c r="C492" s="10" t="n"/>
      <c r="D492" s="10" t="n"/>
      <c r="E492" s="10" t="n"/>
      <c r="F492" s="10" t="n"/>
      <c r="G492" s="10" t="n"/>
    </row>
    <row r="493">
      <c r="A493" s="9" t="n"/>
      <c r="B493" s="10" t="n"/>
      <c r="C493" s="10" t="n"/>
      <c r="D493" s="10" t="n"/>
      <c r="E493" s="10" t="n"/>
      <c r="F493" s="10" t="n"/>
      <c r="G493" s="10" t="n"/>
    </row>
    <row r="494">
      <c r="A494" s="9" t="n"/>
      <c r="B494" s="10" t="n"/>
      <c r="C494" s="10" t="n"/>
      <c r="D494" s="10" t="n"/>
      <c r="E494" s="10" t="n"/>
      <c r="F494" s="10" t="n"/>
      <c r="G494" s="10" t="n"/>
    </row>
    <row r="495">
      <c r="A495" s="9" t="n"/>
      <c r="B495" s="10" t="n"/>
      <c r="C495" s="10" t="n"/>
      <c r="D495" s="10" t="n"/>
      <c r="E495" s="10" t="n"/>
      <c r="F495" s="10" t="n"/>
      <c r="G495" s="10" t="n"/>
    </row>
    <row r="496">
      <c r="A496" s="9" t="n"/>
      <c r="B496" s="10" t="n"/>
      <c r="C496" s="10" t="n"/>
      <c r="D496" s="10" t="n"/>
      <c r="E496" s="10" t="n"/>
      <c r="F496" s="10" t="n"/>
      <c r="G496" s="10" t="n"/>
    </row>
    <row r="497">
      <c r="A497" s="9" t="n"/>
      <c r="B497" s="10" t="n"/>
      <c r="C497" s="10" t="n"/>
      <c r="D497" s="10" t="n"/>
      <c r="E497" s="10" t="n"/>
      <c r="F497" s="10" t="n"/>
      <c r="G497" s="10" t="n"/>
    </row>
    <row r="498">
      <c r="A498" s="9" t="n"/>
      <c r="B498" s="10" t="n"/>
      <c r="C498" s="10" t="n"/>
      <c r="D498" s="10" t="n"/>
      <c r="E498" s="10" t="n"/>
      <c r="F498" s="10" t="n"/>
      <c r="G498" s="10" t="n"/>
    </row>
    <row r="499">
      <c r="A499" s="9" t="n"/>
      <c r="B499" s="10" t="n"/>
      <c r="C499" s="10" t="n"/>
      <c r="D499" s="10" t="n"/>
      <c r="E499" s="10" t="n"/>
      <c r="F499" s="10" t="n"/>
      <c r="G499" s="10" t="n"/>
    </row>
    <row r="500">
      <c r="A500" s="9" t="n"/>
      <c r="B500" s="10" t="n"/>
      <c r="C500" s="10" t="n"/>
      <c r="D500" s="10" t="n"/>
      <c r="E500" s="10" t="n"/>
      <c r="F500" s="10" t="n"/>
      <c r="G500" s="10" t="n"/>
    </row>
  </sheetData>
  <autoFilter ref="A1:G500"/>
  <dataValidations count="3">
    <dataValidation sqref="A2:A500" showDropDown="0" showInputMessage="0" showErrorMessage="1" allowBlank="1" errorTitle="Type a date" error="Type a date, like 2026-09-27." type="date" operator="greaterThan">
      <formula1>36526</formula1>
    </dataValidation>
    <dataValidation sqref="C2:C500" showDropDown="0" showInputMessage="0" showErrorMessage="1" allowBlank="1" errorTitle="Pick from the list" error="Pick a song section from the list. To change the choices, rename one on the Lists sheet." type="list">
      <formula1>Lists!$B$2:$B$8</formula1>
    </dataValidation>
    <dataValidation sqref="F2:F500" showDropDown="0" showInputMessage="0" showErrorMessage="1" allowBlank="1" errorTitle="Pick from the list" error="Pick a status from the list. To change the choices, rename one on the Lists sheet." type="list">
      <formula1>Lists!$D$2:$D$6</formula1>
    </dataValidation>
  </dataValidations>
  <hyperlinks>
    <hyperlink xmlns:r="http://schemas.openxmlformats.org/officeDocument/2006/relationships" ref="G2"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0" customWidth="1" min="3" max="3"/>
    <col width="12" customWidth="1" min="4" max="4"/>
    <col width="3" customWidth="1" min="5" max="5"/>
    <col width="10" customWidth="1" min="6" max="6"/>
    <col width="14" customWidth="1" min="7" max="7"/>
    <col width="3" customWidth="1" min="8" max="8"/>
    <col width="100" customWidth="1" min="9" max="9"/>
  </cols>
  <sheetData>
    <row r="1" ht="22" customHeight="1">
      <c r="A1" s="7" t="inlineStr">
        <is>
          <t>Platform</t>
        </is>
      </c>
      <c r="B1" s="7" t="inlineStr">
        <is>
          <t>Section</t>
        </is>
      </c>
      <c r="C1" s="7" t="inlineStr">
        <is>
          <t>Yes / No</t>
        </is>
      </c>
      <c r="D1" s="7" t="inlineStr">
        <is>
          <t>Status</t>
        </is>
      </c>
      <c r="F1" s="7" t="inlineStr">
        <is>
          <t>From (s)</t>
        </is>
      </c>
      <c r="G1" s="7" t="inlineStr">
        <is>
          <t>Length bucket</t>
        </is>
      </c>
      <c r="I1" s="31" t="inlineStr">
        <is>
          <t>These lists feed the dropdowns on Posts and Calendar, and the Review sheet.</t>
        </is>
      </c>
    </row>
    <row r="2">
      <c r="A2" s="10" t="inlineStr">
        <is>
          <t>Instagram</t>
        </is>
      </c>
      <c r="B2" s="10" t="inlineStr">
        <is>
          <t>intro</t>
        </is>
      </c>
      <c r="C2" s="10" t="inlineStr">
        <is>
          <t>Yes</t>
        </is>
      </c>
      <c r="D2" s="10" t="inlineStr">
        <is>
          <t>Idea</t>
        </is>
      </c>
      <c r="E2" s="10" t="n"/>
      <c r="F2" s="12" t="n">
        <v>0</v>
      </c>
      <c r="G2" s="10" t="inlineStr">
        <is>
          <t>0–15 s</t>
        </is>
      </c>
      <c r="I2" s="31" t="inlineStr">
        <is>
          <t>Each list has a fixed number of rows: to change a choice, rename it. A row added below a list is not picked up.</t>
        </is>
      </c>
    </row>
    <row r="3">
      <c r="A3" s="10" t="inlineStr">
        <is>
          <t>TikTok</t>
        </is>
      </c>
      <c r="B3" s="10" t="inlineStr">
        <is>
          <t>verse 1</t>
        </is>
      </c>
      <c r="C3" s="10" t="inlineStr">
        <is>
          <t>No</t>
        </is>
      </c>
      <c r="D3" s="10" t="inlineStr">
        <is>
          <t>Cut</t>
        </is>
      </c>
      <c r="E3" s="10" t="n"/>
      <c r="F3" s="12" t="n">
        <v>15</v>
      </c>
      <c r="G3" s="10" t="inlineStr">
        <is>
          <t>15–25 s</t>
        </is>
      </c>
      <c r="I3" s="31" t="inlineStr">
        <is>
          <t>Rename an entry here and the dropdowns follow; posts already logged keep the old name (Find and Replace on Posts).</t>
        </is>
      </c>
    </row>
    <row r="4">
      <c r="A4" s="10" t="inlineStr">
        <is>
          <t>YouTube</t>
        </is>
      </c>
      <c r="B4" s="10" t="inlineStr">
        <is>
          <t>pre-chorus</t>
        </is>
      </c>
      <c r="C4" s="10" t="n"/>
      <c r="D4" s="10" t="inlineStr">
        <is>
          <t>Edited</t>
        </is>
      </c>
      <c r="E4" s="10" t="n"/>
      <c r="F4" s="12" t="n">
        <v>25</v>
      </c>
      <c r="G4" s="10" t="inlineStr">
        <is>
          <t>25–40 s</t>
        </is>
      </c>
      <c r="I4" s="31" t="inlineStr">
        <is>
          <t>Review shows the platforms, sections and length buckets listed here; a platform not listed counts as Other.</t>
        </is>
      </c>
    </row>
    <row r="5">
      <c r="A5" s="10" t="n"/>
      <c r="B5" s="10" t="inlineStr">
        <is>
          <t>chorus</t>
        </is>
      </c>
      <c r="C5" s="10" t="n"/>
      <c r="D5" s="10" t="inlineStr">
        <is>
          <t>Scheduled</t>
        </is>
      </c>
      <c r="E5" s="10" t="n"/>
      <c r="F5" s="12" t="n">
        <v>40</v>
      </c>
      <c r="G5" s="10" t="inlineStr">
        <is>
          <t>40+ s</t>
        </is>
      </c>
      <c r="I5" s="31" t="inlineStr">
        <is>
          <t>The trial-reel rows on Review look for the names Instagram and Yes, so keep those two as they are.</t>
        </is>
      </c>
    </row>
    <row r="6">
      <c r="A6" s="10" t="n"/>
      <c r="B6" s="10" t="inlineStr">
        <is>
          <t>verse 2</t>
        </is>
      </c>
      <c r="C6" s="10" t="n"/>
      <c r="D6" s="10" t="inlineStr">
        <is>
          <t>Posted</t>
        </is>
      </c>
      <c r="E6" s="10" t="n"/>
      <c r="F6" s="10" t="n"/>
      <c r="G6" s="10" t="n"/>
      <c r="I6" s="31" t="inlineStr">
        <is>
          <t>Length buckets: a clip goes in the last bucket whose From (s) it reaches.</t>
        </is>
      </c>
    </row>
    <row r="7">
      <c r="A7" s="10" t="n"/>
      <c r="B7" s="10" t="inlineStr">
        <is>
          <t>bridge</t>
        </is>
      </c>
      <c r="C7" s="10" t="n"/>
      <c r="D7" s="10" t="n"/>
      <c r="E7" s="10" t="n"/>
      <c r="F7" s="10" t="n"/>
      <c r="G7" s="10" t="n"/>
      <c r="I7" s="31" t="inlineStr">
        <is>
          <t>Keep From (s) in increasing order.</t>
        </is>
      </c>
    </row>
    <row r="8">
      <c r="A8" s="10" t="n"/>
      <c r="B8" s="10" t="inlineStr">
        <is>
          <t>outro</t>
        </is>
      </c>
      <c r="C8" s="10" t="n"/>
      <c r="D8" s="10" t="n"/>
      <c r="E8" s="10" t="n"/>
      <c r="F8" s="10" t="n"/>
      <c r="G8" s="1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Rainier</dc:creator>
  <dc:title>Marketing review</dc:title>
  <dc:subject>Post log and review dashboard (sample rows)</dc:subject>
  <dcterms:created xsi:type="dcterms:W3CDTF">2026-09-27T12:00:00Z</dcterms:created>
  <dcterms:modified xsi:type="dcterms:W3CDTF">2026-09-27T12:00:00Z</dcterms:modified>
  <cp:lastModifiedBy>Rainier</cp:lastModifiedBy>
</cp:coreProperties>
</file>